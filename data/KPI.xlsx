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1439A8C4-0873-7A43-8038-255D45B7530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2026" sheetId="1" r:id="rId1"/>
    <sheet name="Automatisations métiers" sheetId="2" r:id="rId2"/>
    <sheet name="Automatisations Odoo" sheetId="3" r:id="rId3"/>
    <sheet name="Tests Phishing" sheetId="4" r:id="rId4"/>
    <sheet name="Maintenances Production" sheetId="5" r:id="rId5"/>
    <sheet name="Nombre tickets par type" sheetId="6" r:id="rId6"/>
    <sheet name="Nombre tickets par responsable" sheetId="7" r:id="rId7"/>
  </sheets>
  <definedNames>
    <definedName name="_xlnm._FilterDatabase" localSheetId="6" hidden="1">'Nombre tickets par responsable'!$A$1:$AE$7</definedName>
    <definedName name="_xlnm.Print_Area" localSheetId="6">'Nombre tickets par responsable'!$A$1:$AE$7</definedName>
  </definedNames>
  <calcPr calcId="191028" refMode="R1C1" iterateCount="0" calcOnSave="0" concurrentCalc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7" l="1"/>
  <c r="AE3" i="7"/>
  <c r="AE4" i="7"/>
  <c r="AE5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F2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H34" i="1"/>
  <c r="G34" i="1"/>
  <c r="J33" i="1"/>
  <c r="H33" i="1"/>
  <c r="G33" i="1"/>
  <c r="J32" i="1"/>
  <c r="H32" i="1"/>
  <c r="G32" i="1"/>
  <c r="J31" i="1"/>
  <c r="H31" i="1"/>
  <c r="G31" i="1"/>
  <c r="J30" i="1"/>
  <c r="H30" i="1"/>
  <c r="G30" i="1"/>
  <c r="J29" i="1"/>
  <c r="H29" i="1"/>
  <c r="G29" i="1"/>
  <c r="J28" i="1"/>
  <c r="H28" i="1"/>
  <c r="G28" i="1"/>
  <c r="J27" i="1"/>
  <c r="H27" i="1"/>
  <c r="G27" i="1"/>
  <c r="J26" i="1"/>
  <c r="H26" i="1"/>
  <c r="G26" i="1"/>
  <c r="J25" i="1"/>
  <c r="H25" i="1"/>
  <c r="G25" i="1"/>
  <c r="J24" i="1"/>
  <c r="H24" i="1"/>
  <c r="G24" i="1"/>
  <c r="J23" i="1"/>
  <c r="H23" i="1"/>
  <c r="G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600-000001000000}">
      <text>
        <r>
          <rPr>
            <sz val="11"/>
            <color theme="1"/>
            <rFont val="Calibri"/>
          </rPr>
          <t>Méthode de calcul : chaque colonne hebdomadaire est déterminée à partir de la date de prise en charge du ticket. Seuls les tickets ayant un responsable attribué sont comptabilisés.</t>
        </r>
      </text>
    </comment>
  </commentList>
</comments>
</file>

<file path=xl/sharedStrings.xml><?xml version="1.0" encoding="utf-8"?>
<sst xmlns="http://schemas.openxmlformats.org/spreadsheetml/2006/main" count="185" uniqueCount="113">
  <si>
    <t>User experience</t>
  </si>
  <si>
    <t>Logiciels et Données</t>
  </si>
  <si>
    <t>Infrastructure &amp; Sécurité</t>
  </si>
  <si>
    <t>Ticketing</t>
  </si>
  <si>
    <t>Remarques</t>
  </si>
  <si>
    <t># Tickets hors SLA clôture</t>
  </si>
  <si>
    <t># Tickets hors SLA prise en charge</t>
  </si>
  <si>
    <t># Automatisations métiers</t>
  </si>
  <si>
    <t># Améliorations dans Odoo</t>
  </si>
  <si>
    <t># Echecs tests phishing</t>
  </si>
  <si>
    <t># Maintenances production</t>
  </si>
  <si>
    <t># Demandes IT</t>
  </si>
  <si>
    <t># Demandes non résolues</t>
  </si>
  <si>
    <t>Informations</t>
  </si>
  <si>
    <t>Réaction</t>
  </si>
  <si>
    <t>Mois</t>
  </si>
  <si>
    <t>Semaine</t>
  </si>
  <si>
    <t>IT Team</t>
  </si>
  <si>
    <t>Digital Manager</t>
  </si>
  <si>
    <t>Digital Coordinator</t>
  </si>
  <si>
    <t>Hebdo</t>
  </si>
  <si>
    <t>YTD N</t>
  </si>
  <si>
    <t>Décision de prise en charge des attribution de ticket par Quentin</t>
  </si>
  <si>
    <t>/</t>
  </si>
  <si>
    <t xml:space="preserve">Absence du vendredi 12 juin de Quentin (infiltration) </t>
  </si>
  <si>
    <t>Mise en place d'un backup</t>
  </si>
  <si>
    <t>Backup mis en place par Quentin avec Dominque + Préparation facilitation (email clair à IT@coverseal.com + hyperlink + procédure)</t>
  </si>
  <si>
    <t>Gary n'étant pas présent, certaines taches demandées n'ont pas pu être faites (fiche de prod hors limites)</t>
  </si>
  <si>
    <t xml:space="preserve">Documentation + backup à mettre en place </t>
  </si>
  <si>
    <t xml:space="preserve">Retour de l'équipe au complet, formation Bandi nous accaparant beaucoup de temps </t>
  </si>
  <si>
    <t>Année</t>
  </si>
  <si>
    <t>Expliquation</t>
  </si>
  <si>
    <t>Responsable</t>
  </si>
  <si>
    <t>FLUX B2C</t>
  </si>
  <si>
    <t>Gary</t>
  </si>
  <si>
    <t>N8N Mahieu</t>
  </si>
  <si>
    <t>Quentin</t>
  </si>
  <si>
    <t>N8N Odoo -&gt; SMC</t>
  </si>
  <si>
    <t>BREG</t>
  </si>
  <si>
    <t>Rappel BREG</t>
  </si>
  <si>
    <t>Réception BREG -&gt; Garantie Activée dans Elfsquad</t>
  </si>
  <si>
    <t>Mise à jour des fiches de production en V10 par Formulaire, en main par Ludo</t>
  </si>
  <si>
    <t>Flux B2B</t>
  </si>
  <si>
    <t>Formulaire de création de nouveau poste pour les managers</t>
  </si>
  <si>
    <t>Loic</t>
  </si>
  <si>
    <t>Attribution des ventes aux bonnes personnes dans Odoo (Direct + REV - BE/FR)</t>
  </si>
  <si>
    <t>Rapport Logistique</t>
  </si>
  <si>
    <t>Document BREG digital ajouté à la commande dans Odoo</t>
  </si>
  <si>
    <t>Mise à jour de Mailchimp quand modification CRM dans Odoo</t>
  </si>
  <si>
    <t>Nbr échecs</t>
  </si>
  <si>
    <t>Redemarage de l'ensemble des Smartscans</t>
  </si>
  <si>
    <t>Installation de Odoo sur l'ensemble des Smartscans + Check app Coverseal</t>
  </si>
  <si>
    <t>Catégorie</t>
  </si>
  <si>
    <t>2026-S31</t>
  </si>
  <si>
    <t>2026-S30</t>
  </si>
  <si>
    <t>2026-S29</t>
  </si>
  <si>
    <t>2026-S28</t>
  </si>
  <si>
    <t>2026-S27</t>
  </si>
  <si>
    <t>2026-S26</t>
  </si>
  <si>
    <t>2026-S25</t>
  </si>
  <si>
    <t>2026-S24</t>
  </si>
  <si>
    <t>2026-S23</t>
  </si>
  <si>
    <t>2026-S22</t>
  </si>
  <si>
    <t>2026-S21</t>
  </si>
  <si>
    <t>2026-S20</t>
  </si>
  <si>
    <t>2026-S19</t>
  </si>
  <si>
    <t>2026-S18</t>
  </si>
  <si>
    <t>2026-S17</t>
  </si>
  <si>
    <t>2026-S16</t>
  </si>
  <si>
    <t>2026-S15</t>
  </si>
  <si>
    <t>2026-S14</t>
  </si>
  <si>
    <t>2026-S13</t>
  </si>
  <si>
    <t>2026-S12</t>
  </si>
  <si>
    <t>2026-S11</t>
  </si>
  <si>
    <t>2026-S10</t>
  </si>
  <si>
    <t>2026-S09</t>
  </si>
  <si>
    <t>2026-S08</t>
  </si>
  <si>
    <t>2026-S07</t>
  </si>
  <si>
    <t>2026-S06</t>
  </si>
  <si>
    <t>2026-S05</t>
  </si>
  <si>
    <t>2026-S04</t>
  </si>
  <si>
    <t>2026-S03</t>
  </si>
  <si>
    <t>2026-S02</t>
  </si>
  <si>
    <t>Total 2026</t>
  </si>
  <si>
    <t>Automatisation</t>
  </si>
  <si>
    <t>Becovis</t>
  </si>
  <si>
    <t>Demande de matériel</t>
  </si>
  <si>
    <t>Documentation à faire</t>
  </si>
  <si>
    <t>Elfsquad</t>
  </si>
  <si>
    <t>Exact</t>
  </si>
  <si>
    <t>Extract</t>
  </si>
  <si>
    <t>Google</t>
  </si>
  <si>
    <t>Imprimante</t>
  </si>
  <si>
    <t>Keeper</t>
  </si>
  <si>
    <t>mini-ERP</t>
  </si>
  <si>
    <t>NAS</t>
  </si>
  <si>
    <t>Non catégorisé</t>
  </si>
  <si>
    <t>Odoo</t>
  </si>
  <si>
    <t>Outlook</t>
  </si>
  <si>
    <t>Partenaire</t>
  </si>
  <si>
    <t>Problème matériel</t>
  </si>
  <si>
    <t>Réseau</t>
  </si>
  <si>
    <t>Salle de réunion</t>
  </si>
  <si>
    <t>SolidWorks</t>
  </si>
  <si>
    <t>Teams</t>
  </si>
  <si>
    <t>Téléphonie</t>
  </si>
  <si>
    <t>VPlan</t>
  </si>
  <si>
    <t>Website</t>
  </si>
  <si>
    <t>Total hebdomadaire</t>
  </si>
  <si>
    <t>Devits Quentin</t>
  </si>
  <si>
    <t>Dominique Kudas</t>
  </si>
  <si>
    <t>Gary Schreurs</t>
  </si>
  <si>
    <t>Loic Voumard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</si>
</sst>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1"/>
      <color theme="0" tint="-4.9989318521683403E-2"/>
      <name val="Calibri"/>
    </font>
    <font>
      <b/>
      <sz val="36"/>
      <color theme="1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333333"/>
      <name val="Calibri"/>
    </font>
    <font>
      <b/>
      <sz val="11"/>
      <color rgb="FF333333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78A0A0"/>
      </patternFill>
    </fill>
    <fill>
      <patternFill patternType="solid">
        <fgColor rgb="FFF0E1DA"/>
      </patternFill>
    </fill>
    <fill>
      <patternFill patternType="solid">
        <fgColor theme="5" tint="-0.499893185216834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833C0C"/>
      </patternFill>
    </fill>
    <fill>
      <patternFill patternType="solid">
        <fgColor rgb="FF7D4F70"/>
      </patternFill>
    </fill>
    <fill>
      <patternFill patternType="solid">
        <fgColor rgb="FF7F351B"/>
      </patternFill>
    </fill>
    <fill>
      <patternFill patternType="solid">
        <fgColor rgb="FFEDEDED"/>
      </patternFill>
    </fill>
    <fill>
      <patternFill patternType="solid">
        <fgColor rgb="FFF5E9E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6" fillId="8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3" fontId="7" fillId="0" borderId="13" xfId="0" applyNumberFormat="1" applyFont="1" applyBorder="1" applyAlignment="1">
      <alignment horizontal="center" vertical="center"/>
    </xf>
    <xf numFmtId="0" fontId="8" fillId="9" borderId="13" xfId="0" applyFont="1" applyFill="1" applyBorder="1" applyAlignment="1">
      <alignment vertical="center"/>
    </xf>
    <xf numFmtId="3" fontId="8" fillId="9" borderId="13" xfId="0" applyNumberFormat="1" applyFont="1" applyFill="1" applyBorder="1" applyAlignment="1">
      <alignment horizontal="center" vertical="center"/>
    </xf>
    <xf numFmtId="3" fontId="8" fillId="10" borderId="1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5" xfId="0" applyBorder="1" applyAlignment="1"/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/>
    <xf numFmtId="0" fontId="2" fillId="4" borderId="2" xfId="0" applyFont="1" applyFill="1" applyBorder="1" applyAlignment="1">
      <alignment horizontal="center" vertical="center"/>
    </xf>
    <xf numFmtId="0" fontId="0" fillId="0" borderId="7" xfId="0" applyBorder="1" applyAlignment="1"/>
    <xf numFmtId="0" fontId="3" fillId="2" borderId="8" xfId="0" applyFont="1" applyFill="1" applyBorder="1" applyAlignment="1">
      <alignment horizontal="center" vertical="center" wrapText="1"/>
    </xf>
    <xf numFmtId="0" fontId="0" fillId="0" borderId="9" xfId="0" applyBorder="1" applyAlignment="1"/>
    <xf numFmtId="0" fontId="4" fillId="0" borderId="4" xfId="0" applyFont="1" applyBorder="1" applyAlignment="1">
      <alignment horizontal="center" vertical="center"/>
    </xf>
    <xf numFmtId="0" fontId="0" fillId="0" borderId="6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0" fillId="0" borderId="1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13" Type="http://schemas.openxmlformats.org/officeDocument/2006/relationships/customXml" Target="../customXml/item2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4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56"/>
  <sheetViews>
    <sheetView topLeftCell="A9" zoomScaleNormal="100" zoomScaleSheetLayoutView="100" workbookViewId="0">
      <selection activeCell="G35" sqref="G35"/>
    </sheetView>
  </sheetViews>
  <sheetFormatPr defaultRowHeight="15" x14ac:dyDescent="0.2"/>
  <cols>
    <col min="3" max="4" width="9.55078125" customWidth="1"/>
    <col min="5" max="10" width="18.4296875" customWidth="1"/>
    <col min="15" max="15" width="64.97265625" style="10" customWidth="1"/>
    <col min="16" max="16" width="32.1484375" customWidth="1"/>
  </cols>
  <sheetData>
    <row r="2" spans="3:16" ht="24" customHeight="1" x14ac:dyDescent="0.2">
      <c r="C2" s="24"/>
      <c r="D2" s="25"/>
      <c r="E2" s="26" t="s">
        <v>0</v>
      </c>
      <c r="F2" s="27"/>
      <c r="G2" s="26" t="s">
        <v>1</v>
      </c>
      <c r="H2" s="27"/>
      <c r="I2" s="26" t="s">
        <v>2</v>
      </c>
      <c r="J2" s="27"/>
      <c r="K2" s="30" t="s">
        <v>3</v>
      </c>
      <c r="L2" s="31"/>
      <c r="M2" s="31"/>
      <c r="N2" s="31"/>
      <c r="O2" s="38" t="s">
        <v>4</v>
      </c>
      <c r="P2" s="39"/>
    </row>
    <row r="3" spans="3:16" ht="73.5" customHeight="1" x14ac:dyDescent="0.2">
      <c r="C3" s="34">
        <v>2026</v>
      </c>
      <c r="D3" s="35"/>
      <c r="E3" s="2" t="s">
        <v>5</v>
      </c>
      <c r="F3" s="2" t="s">
        <v>6</v>
      </c>
      <c r="G3" s="23" t="s">
        <v>7</v>
      </c>
      <c r="H3" s="22" t="s">
        <v>8</v>
      </c>
      <c r="I3" s="20" t="s">
        <v>9</v>
      </c>
      <c r="J3" s="21" t="s">
        <v>10</v>
      </c>
      <c r="K3" s="32" t="s">
        <v>11</v>
      </c>
      <c r="L3" s="33"/>
      <c r="M3" s="32" t="s">
        <v>12</v>
      </c>
      <c r="N3" s="33"/>
      <c r="O3" s="1" t="s">
        <v>13</v>
      </c>
      <c r="P3" s="1" t="s">
        <v>14</v>
      </c>
    </row>
    <row r="4" spans="3:16" ht="33" customHeight="1" x14ac:dyDescent="0.2">
      <c r="C4" s="19" t="s">
        <v>15</v>
      </c>
      <c r="D4" s="19" t="s">
        <v>16</v>
      </c>
      <c r="E4" s="36" t="s">
        <v>17</v>
      </c>
      <c r="F4" s="27"/>
      <c r="G4" s="36" t="s">
        <v>18</v>
      </c>
      <c r="H4" s="27"/>
      <c r="I4" s="36" t="s">
        <v>19</v>
      </c>
      <c r="J4" s="27"/>
      <c r="K4" s="4" t="s">
        <v>20</v>
      </c>
      <c r="L4" s="4" t="s">
        <v>21</v>
      </c>
      <c r="M4" s="4" t="s">
        <v>20</v>
      </c>
      <c r="N4" s="9" t="s">
        <v>21</v>
      </c>
      <c r="O4" s="11"/>
      <c r="P4" s="11"/>
    </row>
    <row r="5" spans="3:16" x14ac:dyDescent="0.2">
      <c r="C5" s="19">
        <v>1</v>
      </c>
      <c r="D5" s="19">
        <v>1</v>
      </c>
      <c r="E5" s="3"/>
      <c r="F5" s="3"/>
      <c r="G5" s="3"/>
      <c r="H5" s="3"/>
      <c r="I5" s="3"/>
      <c r="J5" s="3"/>
      <c r="K5" s="4">
        <v>0</v>
      </c>
      <c r="L5" s="4">
        <v>0</v>
      </c>
      <c r="M5" s="4">
        <v>0</v>
      </c>
      <c r="N5" s="9">
        <v>0</v>
      </c>
      <c r="O5" s="11"/>
      <c r="P5" s="11"/>
    </row>
    <row r="6" spans="3:16" x14ac:dyDescent="0.2">
      <c r="C6" s="19">
        <v>1</v>
      </c>
      <c r="D6" s="19">
        <v>2</v>
      </c>
      <c r="E6" s="3"/>
      <c r="F6" s="3"/>
      <c r="G6" s="3"/>
      <c r="H6" s="3"/>
      <c r="I6" s="3"/>
      <c r="J6" s="3"/>
      <c r="K6" s="4">
        <v>41</v>
      </c>
      <c r="L6" s="4">
        <f>K6+L5</f>
        <v>41</v>
      </c>
      <c r="M6" s="4">
        <v>16</v>
      </c>
      <c r="N6" s="9">
        <f>M6+N5</f>
        <v>16</v>
      </c>
      <c r="O6" s="12"/>
      <c r="P6" s="12"/>
    </row>
    <row r="7" spans="3:16" x14ac:dyDescent="0.2">
      <c r="C7" s="19">
        <v>1</v>
      </c>
      <c r="D7" s="19">
        <v>3</v>
      </c>
      <c r="E7" s="3"/>
      <c r="F7" s="3"/>
      <c r="G7" s="3"/>
      <c r="H7" s="3"/>
      <c r="I7" s="3"/>
      <c r="J7" s="3"/>
      <c r="K7" s="4">
        <v>33</v>
      </c>
      <c r="L7" s="4">
        <f>K7+L6</f>
        <v>74</v>
      </c>
      <c r="M7" s="4">
        <v>6</v>
      </c>
      <c r="N7" s="9">
        <f>M7+N6</f>
        <v>22</v>
      </c>
      <c r="O7" s="12"/>
      <c r="P7" s="12"/>
    </row>
    <row r="8" spans="3:16" x14ac:dyDescent="0.2">
      <c r="C8" s="19">
        <v>1</v>
      </c>
      <c r="D8" s="19">
        <v>4</v>
      </c>
      <c r="E8" s="3"/>
      <c r="F8" s="3"/>
      <c r="G8" s="3"/>
      <c r="H8" s="3"/>
      <c r="I8" s="3"/>
      <c r="J8" s="3"/>
      <c r="K8" s="4">
        <v>39</v>
      </c>
      <c r="L8" s="4">
        <f>K8+L7</f>
        <v>113</v>
      </c>
      <c r="M8" s="4">
        <v>12</v>
      </c>
      <c r="N8" s="9">
        <f>M8+N7</f>
        <v>34</v>
      </c>
      <c r="O8" s="12"/>
      <c r="P8" s="12"/>
    </row>
    <row r="9" spans="3:16" x14ac:dyDescent="0.2">
      <c r="C9" s="19">
        <v>1</v>
      </c>
      <c r="D9" s="19">
        <v>5</v>
      </c>
      <c r="E9" s="3"/>
      <c r="F9" s="3"/>
      <c r="G9" s="3"/>
      <c r="H9" s="3"/>
      <c r="I9" s="3"/>
      <c r="J9" s="3"/>
      <c r="K9" s="4">
        <v>39</v>
      </c>
      <c r="L9" s="4">
        <f>K9+L8</f>
        <v>152</v>
      </c>
      <c r="M9" s="4">
        <v>20</v>
      </c>
      <c r="N9" s="9">
        <f>M9+N8</f>
        <v>54</v>
      </c>
      <c r="O9" s="12"/>
      <c r="P9" s="12"/>
    </row>
    <row r="10" spans="3:16" x14ac:dyDescent="0.2">
      <c r="C10" s="19">
        <v>2</v>
      </c>
      <c r="D10" s="19">
        <v>6</v>
      </c>
      <c r="E10" s="3"/>
      <c r="F10" s="3"/>
      <c r="G10" s="3"/>
      <c r="H10" s="3"/>
      <c r="I10" s="3"/>
      <c r="J10" s="3"/>
      <c r="K10" s="4">
        <v>32</v>
      </c>
      <c r="L10" s="4">
        <f>K10+L9</f>
        <v>184</v>
      </c>
      <c r="M10" s="4">
        <v>30</v>
      </c>
      <c r="N10" s="9">
        <f>M10+N9</f>
        <v>84</v>
      </c>
      <c r="O10" s="12"/>
      <c r="P10" s="12"/>
    </row>
    <row r="11" spans="3:16" x14ac:dyDescent="0.2">
      <c r="C11" s="19">
        <v>2</v>
      </c>
      <c r="D11" s="19">
        <v>7</v>
      </c>
      <c r="E11" s="3"/>
      <c r="F11" s="3"/>
      <c r="G11" s="3"/>
      <c r="H11" s="3"/>
      <c r="I11" s="3"/>
      <c r="J11" s="3"/>
      <c r="K11" s="4">
        <v>44</v>
      </c>
      <c r="L11" s="4">
        <f>K11+L10</f>
        <v>228</v>
      </c>
      <c r="M11" s="4">
        <v>22</v>
      </c>
      <c r="N11" s="9">
        <f>M11+N10</f>
        <v>106</v>
      </c>
      <c r="O11" s="12"/>
      <c r="P11" s="12"/>
    </row>
    <row r="12" spans="3:16" x14ac:dyDescent="0.2">
      <c r="C12" s="19">
        <v>2</v>
      </c>
      <c r="D12" s="19">
        <v>8</v>
      </c>
      <c r="E12" s="3"/>
      <c r="F12" s="3"/>
      <c r="G12" s="3"/>
      <c r="H12" s="3"/>
      <c r="I12" s="3"/>
      <c r="J12" s="3"/>
      <c r="K12" s="4">
        <v>28</v>
      </c>
      <c r="L12" s="4">
        <f>K12+L11</f>
        <v>256</v>
      </c>
      <c r="M12" s="4">
        <v>36</v>
      </c>
      <c r="N12" s="9">
        <f>M12+N11</f>
        <v>142</v>
      </c>
      <c r="O12" s="12"/>
      <c r="P12" s="12"/>
    </row>
    <row r="13" spans="3:16" x14ac:dyDescent="0.2">
      <c r="C13" s="19">
        <v>2</v>
      </c>
      <c r="D13" s="19">
        <v>9</v>
      </c>
      <c r="E13" s="3"/>
      <c r="F13" s="3"/>
      <c r="G13" s="3"/>
      <c r="H13" s="3"/>
      <c r="I13" s="3"/>
      <c r="J13" s="3"/>
      <c r="K13" s="4">
        <v>41</v>
      </c>
      <c r="L13" s="4">
        <f>K13+L12</f>
        <v>297</v>
      </c>
      <c r="M13" s="4">
        <v>53</v>
      </c>
      <c r="N13" s="9">
        <f>M13+N12</f>
        <v>195</v>
      </c>
      <c r="O13" s="12"/>
      <c r="P13" s="12"/>
    </row>
    <row r="14" spans="3:16" x14ac:dyDescent="0.2">
      <c r="C14" s="19">
        <v>3</v>
      </c>
      <c r="D14" s="19">
        <v>10</v>
      </c>
      <c r="E14" s="3"/>
      <c r="F14" s="3"/>
      <c r="G14" s="3"/>
      <c r="H14" s="3"/>
      <c r="I14" s="3"/>
      <c r="J14" s="3"/>
      <c r="K14" s="4">
        <v>40</v>
      </c>
      <c r="L14" s="4">
        <f>K14+L13</f>
        <v>337</v>
      </c>
      <c r="M14" s="4">
        <v>47</v>
      </c>
      <c r="N14" s="9">
        <f>M14+N13</f>
        <v>242</v>
      </c>
      <c r="O14" s="12"/>
      <c r="P14" s="12"/>
    </row>
    <row r="15" spans="3:16" x14ac:dyDescent="0.2">
      <c r="C15" s="19">
        <v>3</v>
      </c>
      <c r="D15" s="19">
        <v>11</v>
      </c>
      <c r="E15" s="19">
        <v>7</v>
      </c>
      <c r="F15" s="19">
        <v>7</v>
      </c>
      <c r="G15" s="3"/>
      <c r="H15" s="3"/>
      <c r="I15" s="3"/>
      <c r="J15" s="3"/>
      <c r="K15" s="4">
        <v>50</v>
      </c>
      <c r="L15" s="4">
        <f>K15+L14</f>
        <v>387</v>
      </c>
      <c r="M15" s="4">
        <v>77</v>
      </c>
      <c r="N15" s="9">
        <f>M15+N14</f>
        <v>319</v>
      </c>
      <c r="O15" s="12"/>
      <c r="P15" s="12"/>
    </row>
    <row r="16" spans="3:16" x14ac:dyDescent="0.2">
      <c r="C16" s="19">
        <v>3</v>
      </c>
      <c r="D16" s="19">
        <v>12</v>
      </c>
      <c r="E16" s="19">
        <v>34</v>
      </c>
      <c r="F16" s="19">
        <v>30</v>
      </c>
      <c r="G16" s="3"/>
      <c r="H16" s="3"/>
      <c r="I16" s="3"/>
      <c r="J16" s="3"/>
      <c r="K16" s="4">
        <v>50</v>
      </c>
      <c r="L16" s="4">
        <f>K16+L15</f>
        <v>437</v>
      </c>
      <c r="M16" s="4">
        <v>68</v>
      </c>
      <c r="N16" s="9">
        <f>M16+N15</f>
        <v>387</v>
      </c>
      <c r="O16" s="12"/>
      <c r="P16" s="12"/>
    </row>
    <row r="17" spans="3:16" x14ac:dyDescent="0.2">
      <c r="C17" s="19">
        <v>3</v>
      </c>
      <c r="D17" s="19">
        <v>13</v>
      </c>
      <c r="E17" s="19">
        <v>15</v>
      </c>
      <c r="F17" s="19">
        <v>9</v>
      </c>
      <c r="G17" s="3"/>
      <c r="H17" s="3"/>
      <c r="I17" s="3"/>
      <c r="J17" s="3"/>
      <c r="K17" s="4">
        <v>43</v>
      </c>
      <c r="L17" s="4">
        <f>K17+L16</f>
        <v>480</v>
      </c>
      <c r="M17" s="4">
        <v>72</v>
      </c>
      <c r="N17" s="9">
        <f>M17+N16</f>
        <v>459</v>
      </c>
      <c r="O17" s="12"/>
      <c r="P17" s="12"/>
    </row>
    <row r="18" spans="3:16" x14ac:dyDescent="0.2">
      <c r="C18" s="19">
        <v>4</v>
      </c>
      <c r="D18" s="19">
        <v>14</v>
      </c>
      <c r="E18" s="19">
        <v>26</v>
      </c>
      <c r="F18" s="19">
        <v>9</v>
      </c>
      <c r="G18" s="3"/>
      <c r="H18" s="3"/>
      <c r="I18" s="3"/>
      <c r="J18" s="3"/>
      <c r="K18" s="4">
        <v>37</v>
      </c>
      <c r="L18" s="4">
        <f>K18+L17</f>
        <v>517</v>
      </c>
      <c r="M18" s="4">
        <v>60</v>
      </c>
      <c r="N18" s="9">
        <f>M18+N17</f>
        <v>519</v>
      </c>
      <c r="O18" s="12"/>
      <c r="P18" s="12"/>
    </row>
    <row r="19" spans="3:16" x14ac:dyDescent="0.2">
      <c r="C19" s="19">
        <v>4</v>
      </c>
      <c r="D19" s="19">
        <v>15</v>
      </c>
      <c r="E19" s="19">
        <v>13</v>
      </c>
      <c r="F19" s="19">
        <v>7</v>
      </c>
      <c r="G19" s="3"/>
      <c r="H19" s="3"/>
      <c r="I19" s="3"/>
      <c r="J19" s="3"/>
      <c r="K19" s="4">
        <v>36</v>
      </c>
      <c r="L19" s="4">
        <f>K19+L18</f>
        <v>553</v>
      </c>
      <c r="M19" s="4">
        <v>62</v>
      </c>
      <c r="N19" s="9">
        <f>M19+N18</f>
        <v>581</v>
      </c>
      <c r="O19" s="12"/>
      <c r="P19" s="12"/>
    </row>
    <row r="20" spans="3:16" x14ac:dyDescent="0.2">
      <c r="C20" s="19">
        <v>4</v>
      </c>
      <c r="D20" s="19">
        <v>16</v>
      </c>
      <c r="E20" s="19">
        <v>12</v>
      </c>
      <c r="F20" s="19">
        <v>7</v>
      </c>
      <c r="G20" s="3"/>
      <c r="H20" s="3"/>
      <c r="I20" s="3"/>
      <c r="J20" s="3"/>
      <c r="K20" s="4">
        <v>48</v>
      </c>
      <c r="L20" s="4">
        <f>K20+L19</f>
        <v>601</v>
      </c>
      <c r="M20" s="4">
        <v>63</v>
      </c>
      <c r="N20" s="9">
        <f>M20+N19</f>
        <v>644</v>
      </c>
      <c r="O20" s="12"/>
      <c r="P20" s="12"/>
    </row>
    <row r="21" spans="3:16" x14ac:dyDescent="0.2">
      <c r="C21" s="19">
        <v>4</v>
      </c>
      <c r="D21" s="19">
        <v>17</v>
      </c>
      <c r="E21" s="19">
        <v>8</v>
      </c>
      <c r="F21" s="19">
        <v>8</v>
      </c>
      <c r="G21" s="3"/>
      <c r="H21" s="3"/>
      <c r="I21" s="3"/>
      <c r="J21" s="3"/>
      <c r="K21" s="4">
        <v>46</v>
      </c>
      <c r="L21" s="4">
        <f>K21+L20</f>
        <v>647</v>
      </c>
      <c r="M21" s="4">
        <v>65</v>
      </c>
      <c r="N21" s="9">
        <f>M21+N20</f>
        <v>709</v>
      </c>
      <c r="O21" s="12"/>
      <c r="P21" s="12"/>
    </row>
    <row r="22" spans="3:16" x14ac:dyDescent="0.2">
      <c r="C22" s="19">
        <v>4</v>
      </c>
      <c r="D22" s="19">
        <v>18</v>
      </c>
      <c r="E22" s="19">
        <v>12</v>
      </c>
      <c r="F22" s="19">
        <v>2</v>
      </c>
      <c r="G22" s="3"/>
      <c r="H22" s="3"/>
      <c r="I22" s="3"/>
      <c r="J22" s="3"/>
      <c r="K22" s="4">
        <v>14</v>
      </c>
      <c r="L22" s="4">
        <f>K22+L21</f>
        <v>661</v>
      </c>
      <c r="M22" s="4">
        <v>68</v>
      </c>
      <c r="N22" s="9">
        <f>M22+N21</f>
        <v>777</v>
      </c>
      <c r="O22" s="12"/>
      <c r="P22" s="12"/>
    </row>
    <row r="23" spans="3:16" x14ac:dyDescent="0.2">
      <c r="C23" s="19">
        <v>5</v>
      </c>
      <c r="D23" s="19">
        <v>19</v>
      </c>
      <c r="E23" s="19">
        <v>7</v>
      </c>
      <c r="F23" s="19">
        <v>6</v>
      </c>
      <c r="G23" s="19">
        <f>COUNTIFS('Automatisations métiers'!A:A,'2026'!C$3,'Automatisations métiers'!C:C,'2026'!D23)</f>
        <v>3</v>
      </c>
      <c r="H23" s="19">
        <f>COUNTIFS('Automatisations Odoo'!A:A,'2026'!C$3,'Automatisations Odoo'!C:C,'2026'!D23)</f>
        <v>0</v>
      </c>
      <c r="I23" s="3"/>
      <c r="J23" s="19">
        <f>COUNTIFS('Maintenances Production'!A:A,'2026'!C$3,'Maintenances Production'!C:C,'2026'!D23)</f>
        <v>1</v>
      </c>
      <c r="K23" s="4">
        <v>41</v>
      </c>
      <c r="L23" s="4">
        <f>K23+L22</f>
        <v>702</v>
      </c>
      <c r="M23" s="4">
        <v>73</v>
      </c>
      <c r="N23" s="9">
        <f>M23+N22</f>
        <v>850</v>
      </c>
      <c r="O23" s="12"/>
      <c r="P23" s="12"/>
    </row>
    <row r="24" spans="3:16" x14ac:dyDescent="0.2">
      <c r="C24" s="19">
        <v>5</v>
      </c>
      <c r="D24" s="19">
        <v>20</v>
      </c>
      <c r="E24" s="19">
        <v>11</v>
      </c>
      <c r="F24" s="19">
        <v>3</v>
      </c>
      <c r="G24" s="19">
        <f>COUNTIFS('Automatisations métiers'!A:A,'2026'!C$3,'Automatisations métiers'!C:C,'2026'!D24)</f>
        <v>0</v>
      </c>
      <c r="H24" s="19">
        <f>COUNTIFS('Automatisations Odoo'!A:A,'2026'!C$3,'Automatisations Odoo'!C:C,'2026'!D24)</f>
        <v>0</v>
      </c>
      <c r="I24" s="3"/>
      <c r="J24" s="19">
        <f>COUNTIFS('Maintenances Production'!A:A,'2026'!C$3,'Maintenances Production'!C:C,'2026'!D24)</f>
        <v>1</v>
      </c>
      <c r="K24" s="4">
        <v>32</v>
      </c>
      <c r="L24" s="4">
        <f>K24+L23</f>
        <v>734</v>
      </c>
      <c r="M24" s="4">
        <v>69</v>
      </c>
      <c r="N24" s="9">
        <f>M24+N23</f>
        <v>919</v>
      </c>
      <c r="O24" s="12"/>
      <c r="P24" s="12"/>
    </row>
    <row r="25" spans="3:16" ht="15" customHeight="1" x14ac:dyDescent="0.2">
      <c r="C25" s="19">
        <v>5</v>
      </c>
      <c r="D25" s="19">
        <v>21</v>
      </c>
      <c r="E25" s="19">
        <v>19</v>
      </c>
      <c r="F25" s="19">
        <v>0</v>
      </c>
      <c r="G25" s="19">
        <f>COUNTIFS('Automatisations métiers'!A:A,'2026'!C$3,'Automatisations métiers'!C:C,'2026'!D25)</f>
        <v>0</v>
      </c>
      <c r="H25" s="19">
        <f>COUNTIFS('Automatisations Odoo'!A:A,'2026'!C$3,'Automatisations Odoo'!C:C,'2026'!D25)</f>
        <v>0</v>
      </c>
      <c r="I25" s="3"/>
      <c r="J25" s="19">
        <f>COUNTIFS('Maintenances Production'!A:A,'2026'!C$3,'Maintenances Production'!C:C,'2026'!D25)</f>
        <v>0</v>
      </c>
      <c r="K25" s="4">
        <v>39</v>
      </c>
      <c r="L25" s="4">
        <f>K25+L24</f>
        <v>773</v>
      </c>
      <c r="M25" s="4">
        <v>63</v>
      </c>
      <c r="N25" s="9">
        <f>M25+N24</f>
        <v>982</v>
      </c>
      <c r="O25" s="12" t="s">
        <v>22</v>
      </c>
      <c r="P25" s="12"/>
    </row>
    <row r="26" spans="3:16" x14ac:dyDescent="0.2">
      <c r="C26" s="19">
        <v>5</v>
      </c>
      <c r="D26" s="19">
        <v>22</v>
      </c>
      <c r="E26" s="19">
        <v>3</v>
      </c>
      <c r="F26" s="19">
        <v>3</v>
      </c>
      <c r="G26" s="19">
        <f>COUNTIFS('Automatisations métiers'!A:A,'2026'!C$3,'Automatisations métiers'!C:C,'2026'!D26)</f>
        <v>2</v>
      </c>
      <c r="H26" s="19">
        <f>COUNTIFS('Automatisations Odoo'!A:A,'2026'!C$3,'Automatisations Odoo'!C:C,'2026'!D26)</f>
        <v>1</v>
      </c>
      <c r="I26" s="3"/>
      <c r="J26" s="19">
        <f>COUNTIFS('Maintenances Production'!A:A,'2026'!C$3,'Maintenances Production'!C:C,'2026'!D26)</f>
        <v>0</v>
      </c>
      <c r="K26" s="4">
        <v>24</v>
      </c>
      <c r="L26" s="4">
        <f>K26+L25</f>
        <v>797</v>
      </c>
      <c r="M26" s="4">
        <v>72</v>
      </c>
      <c r="N26" s="9">
        <f>M26+N25</f>
        <v>1054</v>
      </c>
      <c r="O26" s="12" t="s">
        <v>23</v>
      </c>
      <c r="P26" s="12"/>
    </row>
    <row r="27" spans="3:16" x14ac:dyDescent="0.2">
      <c r="C27" s="19">
        <v>6</v>
      </c>
      <c r="D27" s="19">
        <v>23</v>
      </c>
      <c r="E27" s="19">
        <v>8</v>
      </c>
      <c r="F27" s="19">
        <v>0</v>
      </c>
      <c r="G27" s="19">
        <f>COUNTIFS('Automatisations métiers'!A:A,'2026'!C$3,'Automatisations métiers'!C:C,'2026'!D27)</f>
        <v>1</v>
      </c>
      <c r="H27" s="19">
        <f>COUNTIFS('Automatisations Odoo'!A:A,'2026'!C$3,'Automatisations Odoo'!C:C,'2026'!D27)</f>
        <v>1</v>
      </c>
      <c r="I27" s="3"/>
      <c r="J27" s="19">
        <f>COUNTIFS('Maintenances Production'!A:A,'2026'!C$3,'Maintenances Production'!C:C,'2026'!D27)</f>
        <v>0</v>
      </c>
      <c r="K27" s="4">
        <v>37</v>
      </c>
      <c r="L27" s="4">
        <f>K27+L26</f>
        <v>834</v>
      </c>
      <c r="M27" s="4">
        <v>77</v>
      </c>
      <c r="N27" s="9">
        <f>M27+N26</f>
        <v>1131</v>
      </c>
      <c r="O27" s="12" t="s">
        <v>23</v>
      </c>
      <c r="P27" s="12"/>
    </row>
    <row r="28" spans="3:16" x14ac:dyDescent="0.2">
      <c r="C28" s="19">
        <v>6</v>
      </c>
      <c r="D28" s="19">
        <v>24</v>
      </c>
      <c r="E28" s="19">
        <v>1</v>
      </c>
      <c r="F28" s="19">
        <v>3</v>
      </c>
      <c r="G28" s="19">
        <f>COUNTIFS('Automatisations métiers'!A:A,'2026'!C$3,'Automatisations métiers'!C:C,'2026'!D28)</f>
        <v>1</v>
      </c>
      <c r="H28" s="19">
        <f>COUNTIFS('Automatisations Odoo'!A:A,'2026'!C$3,'Automatisations Odoo'!C:C,'2026'!D28)</f>
        <v>1</v>
      </c>
      <c r="I28" s="3"/>
      <c r="J28" s="19">
        <f>COUNTIFS('Maintenances Production'!A:A,'2026'!C$3,'Maintenances Production'!C:C,'2026'!D28)</f>
        <v>0</v>
      </c>
      <c r="K28" s="4">
        <v>56</v>
      </c>
      <c r="L28" s="4">
        <f>K28+L27</f>
        <v>890</v>
      </c>
      <c r="M28" s="4">
        <v>104</v>
      </c>
      <c r="N28" s="9">
        <f>M28+N27</f>
        <v>1235</v>
      </c>
      <c r="O28" s="12" t="s">
        <v>23</v>
      </c>
      <c r="P28" s="12"/>
    </row>
    <row r="29" spans="3:16" ht="15" customHeight="1" x14ac:dyDescent="0.2">
      <c r="C29" s="19">
        <v>6</v>
      </c>
      <c r="D29" s="19">
        <v>25</v>
      </c>
      <c r="E29" s="19">
        <v>43</v>
      </c>
      <c r="F29" s="19">
        <v>16</v>
      </c>
      <c r="G29" s="19">
        <f>COUNTIFS('Automatisations métiers'!A:A,'2026'!C$3,'Automatisations métiers'!C:C,'2026'!D29)</f>
        <v>0</v>
      </c>
      <c r="H29" s="19">
        <f>COUNTIFS('Automatisations Odoo'!A:A,'2026'!C$3,'Automatisations Odoo'!C:C,'2026'!D29)</f>
        <v>0</v>
      </c>
      <c r="I29" s="3"/>
      <c r="J29" s="19">
        <f>COUNTIFS('Maintenances Production'!A:A,'2026'!C$3,'Maintenances Production'!C:C,'2026'!D29)</f>
        <v>0</v>
      </c>
      <c r="K29" s="4">
        <v>44</v>
      </c>
      <c r="L29" s="4">
        <f>K29+L28</f>
        <v>934</v>
      </c>
      <c r="M29" s="4">
        <v>78</v>
      </c>
      <c r="N29" s="9">
        <f>M29+N28</f>
        <v>1313</v>
      </c>
      <c r="O29" s="12" t="s">
        <v>24</v>
      </c>
      <c r="P29" s="12" t="s">
        <v>25</v>
      </c>
    </row>
    <row r="30" spans="3:16" x14ac:dyDescent="0.2">
      <c r="C30" s="19">
        <v>6</v>
      </c>
      <c r="D30" s="19">
        <v>26</v>
      </c>
      <c r="E30" s="19">
        <v>24</v>
      </c>
      <c r="F30" s="19">
        <v>1</v>
      </c>
      <c r="G30" s="19">
        <f>COUNTIFS('Automatisations métiers'!A:A,'2026'!C$3,'Automatisations métiers'!C:C,'2026'!D30)</f>
        <v>0</v>
      </c>
      <c r="H30" s="19">
        <f>COUNTIFS('Automatisations Odoo'!A:A,'2026'!C$3,'Automatisations Odoo'!C:C,'2026'!D30)</f>
        <v>0</v>
      </c>
      <c r="I30" s="3"/>
      <c r="J30" s="19">
        <f>COUNTIFS('Maintenances Production'!A:A,'2026'!C$3,'Maintenances Production'!C:C,'2026'!D30)</f>
        <v>1</v>
      </c>
      <c r="K30" s="4">
        <v>37</v>
      </c>
      <c r="L30" s="4">
        <f>K30+L29</f>
        <v>971</v>
      </c>
      <c r="M30" s="4">
        <v>65</v>
      </c>
      <c r="N30" s="9">
        <f>M30+N29</f>
        <v>1378</v>
      </c>
      <c r="O30" s="12" t="s">
        <v>23</v>
      </c>
      <c r="P30" s="12"/>
    </row>
    <row r="31" spans="3:16" x14ac:dyDescent="0.2">
      <c r="C31" s="19">
        <v>7</v>
      </c>
      <c r="D31" s="19">
        <v>27</v>
      </c>
      <c r="E31" s="19">
        <v>21</v>
      </c>
      <c r="F31" s="19">
        <v>12</v>
      </c>
      <c r="G31" s="19">
        <f>COUNTIFS('Automatisations métiers'!A:A,'2026'!C$3,'Automatisations métiers'!C:C,'2026'!D31)</f>
        <v>0</v>
      </c>
      <c r="H31" s="19">
        <f>COUNTIFS('Automatisations Odoo'!A:A,'2026'!C$3,'Automatisations Odoo'!C:C,'2026'!D31)</f>
        <v>0</v>
      </c>
      <c r="I31" s="3"/>
      <c r="J31" s="19">
        <f>COUNTIFS('Maintenances Production'!A:A,'2026'!C$3,'Maintenances Production'!C:C,'2026'!D31)</f>
        <v>0</v>
      </c>
      <c r="K31" s="4">
        <v>38</v>
      </c>
      <c r="L31" s="4">
        <f>K31+L30</f>
        <v>1009</v>
      </c>
      <c r="M31" s="4">
        <v>53</v>
      </c>
      <c r="N31" s="9">
        <f>M31+N30</f>
        <v>1431</v>
      </c>
      <c r="O31" s="12" t="s">
        <v>23</v>
      </c>
      <c r="P31" s="12"/>
    </row>
    <row r="32" spans="3:16" ht="15" customHeight="1" x14ac:dyDescent="0.2">
      <c r="C32" s="19">
        <v>7</v>
      </c>
      <c r="D32" s="19">
        <v>28</v>
      </c>
      <c r="E32" s="19">
        <v>15</v>
      </c>
      <c r="F32" s="19">
        <v>2</v>
      </c>
      <c r="G32" s="19">
        <f>COUNTIFS('Automatisations métiers'!A:A,'2026'!C$3,'Automatisations métiers'!C:C,'2026'!D32)</f>
        <v>1</v>
      </c>
      <c r="H32" s="19">
        <f>COUNTIFS('Automatisations Odoo'!A:A,'2026'!C$3,'Automatisations Odoo'!C:C,'2026'!D32)</f>
        <v>0</v>
      </c>
      <c r="I32" s="3"/>
      <c r="J32" s="19">
        <f>COUNTIFS('Maintenances Production'!A:A,'2026'!C$3,'Maintenances Production'!C:C,'2026'!D32)</f>
        <v>0</v>
      </c>
      <c r="K32" s="4">
        <v>27</v>
      </c>
      <c r="L32" s="4">
        <f>K32+L31</f>
        <v>1036</v>
      </c>
      <c r="M32" s="4">
        <v>50</v>
      </c>
      <c r="N32" s="9">
        <f>M32+N31</f>
        <v>1481</v>
      </c>
      <c r="O32" s="37" t="s">
        <v>26</v>
      </c>
      <c r="P32" s="28"/>
    </row>
    <row r="33" spans="3:16" x14ac:dyDescent="0.2">
      <c r="C33" s="19">
        <v>7</v>
      </c>
      <c r="D33" s="19">
        <v>29</v>
      </c>
      <c r="E33" s="19">
        <v>10</v>
      </c>
      <c r="F33" s="19">
        <v>0</v>
      </c>
      <c r="G33" s="19">
        <f>COUNTIFS('Automatisations métiers'!A:A,'2026'!C$3,'Automatisations métiers'!C:C,'2026'!D33)</f>
        <v>1</v>
      </c>
      <c r="H33" s="19">
        <f>COUNTIFS('Automatisations Odoo'!A:A,'2026'!C$3,'Automatisations Odoo'!C:C,'2026'!D33)</f>
        <v>0</v>
      </c>
      <c r="I33" s="3"/>
      <c r="J33" s="19">
        <f>COUNTIFS('Maintenances Production'!A:A,'2026'!C$3,'Maintenances Production'!C:C,'2026'!D33)</f>
        <v>0</v>
      </c>
      <c r="K33" s="4">
        <v>30</v>
      </c>
      <c r="L33" s="4">
        <f>K33+L32</f>
        <v>1066</v>
      </c>
      <c r="M33" s="4">
        <v>43</v>
      </c>
      <c r="N33" s="9">
        <f>M33+N32</f>
        <v>1524</v>
      </c>
      <c r="O33" s="29"/>
      <c r="P33" s="29"/>
    </row>
    <row r="34" spans="3:16" ht="30.75" customHeight="1" x14ac:dyDescent="0.2">
      <c r="C34" s="19">
        <v>7</v>
      </c>
      <c r="D34" s="19">
        <v>30</v>
      </c>
      <c r="E34" s="19">
        <v>0</v>
      </c>
      <c r="F34" s="19">
        <v>2</v>
      </c>
      <c r="G34" s="19">
        <f>COUNTIFS('Automatisations métiers'!A:A,'2026'!C$3,'Automatisations métiers'!C:C,'2026'!D34)</f>
        <v>0</v>
      </c>
      <c r="H34" s="19">
        <f>COUNTIFS('Automatisations Odoo'!A:A,'2026'!C$3,'Automatisations Odoo'!C:C,'2026'!D34)</f>
        <v>0</v>
      </c>
      <c r="I34" s="3"/>
      <c r="J34" s="19">
        <f>COUNTIFS('Maintenances Production'!A:A,'2026'!C$3,'Maintenances Production'!C:C,'2026'!D34)</f>
        <v>1</v>
      </c>
      <c r="K34" s="4">
        <v>9</v>
      </c>
      <c r="L34" s="4">
        <f>K34+L33</f>
        <v>1075</v>
      </c>
      <c r="M34" s="4">
        <v>45</v>
      </c>
      <c r="N34" s="9">
        <f>M34+N33</f>
        <v>1569</v>
      </c>
      <c r="O34" s="12" t="s">
        <v>27</v>
      </c>
      <c r="P34" s="12" t="s">
        <v>28</v>
      </c>
    </row>
    <row r="35" spans="3:16" ht="27.75" x14ac:dyDescent="0.2">
      <c r="C35" s="19">
        <v>7</v>
      </c>
      <c r="D35" s="19">
        <v>31</v>
      </c>
      <c r="E35" s="19">
        <v>7</v>
      </c>
      <c r="F35" s="19">
        <v>1</v>
      </c>
      <c r="G35" s="19">
        <f>COUNTIFS('Automatisations métiers'!A:A,'2026'!C$3,'Automatisations métiers'!C:C,'2026'!D35)</f>
        <v>1</v>
      </c>
      <c r="H35" s="19">
        <f>COUNTIFS('Automatisations Odoo'!A:A,'2026'!C$3,'Automatisations Odoo'!C:C,'2026'!D35)</f>
        <v>0</v>
      </c>
      <c r="I35" s="19">
        <f>SUMIFS('Tests Phishing'!F:F,'Tests Phishing'!A:A,'2026'!C$3,'Tests Phishing'!C:C,'2026'!D35)</f>
        <v>0</v>
      </c>
      <c r="J35" s="19">
        <f>COUNTIFS('Maintenances Production'!A:A,'2026'!C$3,'Maintenances Production'!C:C,'2026'!D35)</f>
        <v>0</v>
      </c>
      <c r="K35" s="4">
        <v>15</v>
      </c>
      <c r="L35" s="4">
        <f>K35+L34</f>
        <v>1090</v>
      </c>
      <c r="M35" s="4">
        <v>48</v>
      </c>
      <c r="N35" s="9">
        <f>M35+N34</f>
        <v>1617</v>
      </c>
      <c r="O35" s="12" t="s">
        <v>29</v>
      </c>
      <c r="P35" s="12"/>
    </row>
    <row r="36" spans="3:16" x14ac:dyDescent="0.2">
      <c r="C36" s="19">
        <v>8</v>
      </c>
      <c r="D36" s="19">
        <v>32</v>
      </c>
      <c r="E36" s="19"/>
      <c r="F36" s="19"/>
      <c r="G36" s="19">
        <f>COUNTIFS('Automatisations métiers'!A:A,'2026'!C$3,'Automatisations métiers'!C:C,'2026'!D36)</f>
        <v>0</v>
      </c>
      <c r="H36" s="19">
        <f>COUNTIFS('Automatisations Odoo'!A:A,'2026'!C$3,'Automatisations Odoo'!C:C,'2026'!D36)</f>
        <v>0</v>
      </c>
      <c r="I36" s="19">
        <f>SUMIFS('Tests Phishing'!F:F,'Tests Phishing'!A:A,'2026'!C$3,'Tests Phishing'!C:C,'2026'!D36)</f>
        <v>0</v>
      </c>
      <c r="J36" s="19">
        <f>COUNTIFS('Maintenances Production'!A:A,'2026'!C$3,'Maintenances Production'!C:C,'2026'!D36)</f>
        <v>0</v>
      </c>
      <c r="K36" s="4"/>
      <c r="L36" s="4">
        <f>K36+L35</f>
        <v>1090</v>
      </c>
      <c r="M36" s="4"/>
      <c r="N36" s="9">
        <f>M36+N35</f>
        <v>1617</v>
      </c>
      <c r="O36" s="12"/>
      <c r="P36" s="12"/>
    </row>
    <row r="37" spans="3:16" x14ac:dyDescent="0.2">
      <c r="C37" s="19">
        <v>8</v>
      </c>
      <c r="D37" s="19">
        <v>33</v>
      </c>
      <c r="E37" s="19"/>
      <c r="F37" s="19"/>
      <c r="G37" s="19">
        <f>COUNTIFS('Automatisations métiers'!A:A,'2026'!C$3,'Automatisations métiers'!C:C,'2026'!D37)</f>
        <v>0</v>
      </c>
      <c r="H37" s="19">
        <f>COUNTIFS('Automatisations Odoo'!A:A,'2026'!C$3,'Automatisations Odoo'!C:C,'2026'!D37)</f>
        <v>0</v>
      </c>
      <c r="I37" s="19">
        <f>SUMIFS('Tests Phishing'!F:F,'Tests Phishing'!A:A,'2026'!C$3,'Tests Phishing'!C:C,'2026'!D37)</f>
        <v>0</v>
      </c>
      <c r="J37" s="19">
        <f>COUNTIFS('Maintenances Production'!A:A,'2026'!C$3,'Maintenances Production'!C:C,'2026'!D37)</f>
        <v>0</v>
      </c>
      <c r="K37" s="4"/>
      <c r="L37" s="4">
        <f>K37+L36</f>
        <v>1090</v>
      </c>
      <c r="M37" s="4"/>
      <c r="N37" s="9">
        <f>M37+N36</f>
        <v>1617</v>
      </c>
      <c r="O37" s="12"/>
      <c r="P37" s="12"/>
    </row>
    <row r="38" spans="3:16" x14ac:dyDescent="0.2">
      <c r="C38" s="19">
        <v>8</v>
      </c>
      <c r="D38" s="19">
        <v>34</v>
      </c>
      <c r="E38" s="19"/>
      <c r="F38" s="19"/>
      <c r="G38" s="19">
        <f>COUNTIFS('Automatisations métiers'!A:A,'2026'!C$3,'Automatisations métiers'!C:C,'2026'!D38)</f>
        <v>0</v>
      </c>
      <c r="H38" s="19">
        <f>COUNTIFS('Automatisations Odoo'!A:A,'2026'!C$3,'Automatisations Odoo'!C:C,'2026'!D38)</f>
        <v>0</v>
      </c>
      <c r="I38" s="19">
        <f>SUMIFS('Tests Phishing'!F:F,'Tests Phishing'!A:A,'2026'!C$3,'Tests Phishing'!C:C,'2026'!D38)</f>
        <v>0</v>
      </c>
      <c r="J38" s="19">
        <f>COUNTIFS('Maintenances Production'!A:A,'2026'!C$3,'Maintenances Production'!C:C,'2026'!D38)</f>
        <v>0</v>
      </c>
      <c r="K38" s="4"/>
      <c r="L38" s="4">
        <f>K38+L37</f>
        <v>1090</v>
      </c>
      <c r="M38" s="4"/>
      <c r="N38" s="9">
        <f>M38+N37</f>
        <v>1617</v>
      </c>
      <c r="O38" s="12"/>
      <c r="P38" s="12"/>
    </row>
    <row r="39" spans="3:16" x14ac:dyDescent="0.2">
      <c r="C39" s="19">
        <v>8</v>
      </c>
      <c r="D39" s="19">
        <v>35</v>
      </c>
      <c r="E39" s="19"/>
      <c r="F39" s="19"/>
      <c r="G39" s="19">
        <f>COUNTIFS('Automatisations métiers'!A:A,'2026'!C$3,'Automatisations métiers'!C:C,'2026'!D39)</f>
        <v>0</v>
      </c>
      <c r="H39" s="19">
        <f>COUNTIFS('Automatisations Odoo'!A:A,'2026'!C$3,'Automatisations Odoo'!C:C,'2026'!D39)</f>
        <v>0</v>
      </c>
      <c r="I39" s="19">
        <f>SUMIFS('Tests Phishing'!F:F,'Tests Phishing'!A:A,'2026'!C$3,'Tests Phishing'!C:C,'2026'!D39)</f>
        <v>0</v>
      </c>
      <c r="J39" s="19">
        <f>COUNTIFS('Maintenances Production'!A:A,'2026'!C$3,'Maintenances Production'!C:C,'2026'!D39)</f>
        <v>0</v>
      </c>
      <c r="K39" s="4"/>
      <c r="L39" s="4">
        <f>K39+L38</f>
        <v>1090</v>
      </c>
      <c r="M39" s="4"/>
      <c r="N39" s="9">
        <f>M39+N38</f>
        <v>1617</v>
      </c>
      <c r="O39" s="12"/>
      <c r="P39" s="12"/>
    </row>
    <row r="40" spans="3:16" x14ac:dyDescent="0.2">
      <c r="C40" s="19">
        <v>9</v>
      </c>
      <c r="D40" s="19">
        <v>36</v>
      </c>
      <c r="E40" s="19"/>
      <c r="F40" s="19"/>
      <c r="G40" s="19">
        <f>COUNTIFS('Automatisations métiers'!A:A,'2026'!C$3,'Automatisations métiers'!C:C,'2026'!D40)</f>
        <v>0</v>
      </c>
      <c r="H40" s="19">
        <f>COUNTIFS('Automatisations Odoo'!A:A,'2026'!C$3,'Automatisations Odoo'!C:C,'2026'!D40)</f>
        <v>0</v>
      </c>
      <c r="I40" s="19">
        <f>SUMIFS('Tests Phishing'!F:F,'Tests Phishing'!A:A,'2026'!C$3,'Tests Phishing'!C:C,'2026'!D40)</f>
        <v>0</v>
      </c>
      <c r="J40" s="19">
        <f>COUNTIFS('Maintenances Production'!A:A,'2026'!C$3,'Maintenances Production'!C:C,'2026'!D40)</f>
        <v>0</v>
      </c>
      <c r="K40" s="4"/>
      <c r="L40" s="4">
        <f>K40+L39</f>
        <v>1090</v>
      </c>
      <c r="M40" s="4"/>
      <c r="N40" s="9">
        <f>M40+N39</f>
        <v>1617</v>
      </c>
      <c r="O40" s="12"/>
      <c r="P40" s="12"/>
    </row>
    <row r="41" spans="3:16" x14ac:dyDescent="0.2">
      <c r="C41" s="19">
        <v>9</v>
      </c>
      <c r="D41" s="19">
        <v>37</v>
      </c>
      <c r="E41" s="19"/>
      <c r="F41" s="19"/>
      <c r="G41" s="19">
        <f>COUNTIFS('Automatisations métiers'!A:A,'2026'!C$3,'Automatisations métiers'!C:C,'2026'!D41)</f>
        <v>0</v>
      </c>
      <c r="H41" s="19">
        <f>COUNTIFS('Automatisations Odoo'!A:A,'2026'!C$3,'Automatisations Odoo'!C:C,'2026'!D41)</f>
        <v>0</v>
      </c>
      <c r="I41" s="19">
        <f>SUMIFS('Tests Phishing'!F:F,'Tests Phishing'!A:A,'2026'!C$3,'Tests Phishing'!C:C,'2026'!D41)</f>
        <v>0</v>
      </c>
      <c r="J41" s="19">
        <f>COUNTIFS('Maintenances Production'!A:A,'2026'!C$3,'Maintenances Production'!C:C,'2026'!D41)</f>
        <v>0</v>
      </c>
      <c r="K41" s="4"/>
      <c r="L41" s="4">
        <f>K41+L40</f>
        <v>1090</v>
      </c>
      <c r="M41" s="4"/>
      <c r="N41" s="9">
        <f>M41+N40</f>
        <v>1617</v>
      </c>
      <c r="O41" s="12"/>
      <c r="P41" s="12"/>
    </row>
    <row r="42" spans="3:16" x14ac:dyDescent="0.2">
      <c r="C42" s="19">
        <v>9</v>
      </c>
      <c r="D42" s="19">
        <v>38</v>
      </c>
      <c r="E42" s="19"/>
      <c r="F42" s="19"/>
      <c r="G42" s="19">
        <f>COUNTIFS('Automatisations métiers'!A:A,'2026'!C$3,'Automatisations métiers'!C:C,'2026'!D42)</f>
        <v>0</v>
      </c>
      <c r="H42" s="19">
        <f>COUNTIFS('Automatisations Odoo'!A:A,'2026'!C$3,'Automatisations Odoo'!C:C,'2026'!D42)</f>
        <v>0</v>
      </c>
      <c r="I42" s="19">
        <f>SUMIFS('Tests Phishing'!F:F,'Tests Phishing'!A:A,'2026'!C$3,'Tests Phishing'!C:C,'2026'!D42)</f>
        <v>0</v>
      </c>
      <c r="J42" s="19">
        <f>COUNTIFS('Maintenances Production'!A:A,'2026'!C$3,'Maintenances Production'!C:C,'2026'!D42)</f>
        <v>0</v>
      </c>
      <c r="K42" s="4"/>
      <c r="L42" s="4">
        <f>K42+L41</f>
        <v>1090</v>
      </c>
      <c r="M42" s="4"/>
      <c r="N42" s="9">
        <f>M42+N41</f>
        <v>1617</v>
      </c>
      <c r="O42" s="12"/>
      <c r="P42" s="12"/>
    </row>
    <row r="43" spans="3:16" x14ac:dyDescent="0.2">
      <c r="C43" s="19">
        <v>9</v>
      </c>
      <c r="D43" s="19">
        <v>39</v>
      </c>
      <c r="E43" s="19"/>
      <c r="F43" s="19"/>
      <c r="G43" s="19">
        <f>COUNTIFS('Automatisations métiers'!A:A,'2026'!C$3,'Automatisations métiers'!C:C,'2026'!D43)</f>
        <v>0</v>
      </c>
      <c r="H43" s="19">
        <f>COUNTIFS('Automatisations Odoo'!A:A,'2026'!C$3,'Automatisations Odoo'!C:C,'2026'!D43)</f>
        <v>0</v>
      </c>
      <c r="I43" s="19">
        <f>SUMIFS('Tests Phishing'!F:F,'Tests Phishing'!A:A,'2026'!C$3,'Tests Phishing'!C:C,'2026'!D43)</f>
        <v>0</v>
      </c>
      <c r="J43" s="19">
        <f>COUNTIFS('Maintenances Production'!A:A,'2026'!C$3,'Maintenances Production'!C:C,'2026'!D43)</f>
        <v>0</v>
      </c>
      <c r="K43" s="4"/>
      <c r="L43" s="4">
        <f>K43+L42</f>
        <v>1090</v>
      </c>
      <c r="M43" s="4"/>
      <c r="N43" s="9">
        <f>M43+N42</f>
        <v>1617</v>
      </c>
      <c r="O43" s="12"/>
      <c r="P43" s="12"/>
    </row>
    <row r="44" spans="3:16" x14ac:dyDescent="0.2">
      <c r="C44" s="19">
        <v>9</v>
      </c>
      <c r="D44" s="19">
        <v>40</v>
      </c>
      <c r="E44" s="19"/>
      <c r="F44" s="19"/>
      <c r="G44" s="19">
        <f>COUNTIFS('Automatisations métiers'!A:A,'2026'!C$3,'Automatisations métiers'!C:C,'2026'!D44)</f>
        <v>0</v>
      </c>
      <c r="H44" s="19">
        <f>COUNTIFS('Automatisations Odoo'!A:A,'2026'!C$3,'Automatisations Odoo'!C:C,'2026'!D44)</f>
        <v>0</v>
      </c>
      <c r="I44" s="19">
        <f>SUMIFS('Tests Phishing'!F:F,'Tests Phishing'!A:A,'2026'!C$3,'Tests Phishing'!C:C,'2026'!D44)</f>
        <v>0</v>
      </c>
      <c r="J44" s="19">
        <f>COUNTIFS('Maintenances Production'!A:A,'2026'!C$3,'Maintenances Production'!C:C,'2026'!D44)</f>
        <v>0</v>
      </c>
      <c r="K44" s="4"/>
      <c r="L44" s="4">
        <f>K44+L43</f>
        <v>1090</v>
      </c>
      <c r="M44" s="4"/>
      <c r="N44" s="9">
        <f>M44+N43</f>
        <v>1617</v>
      </c>
      <c r="O44" s="12"/>
      <c r="P44" s="12"/>
    </row>
    <row r="45" spans="3:16" x14ac:dyDescent="0.2">
      <c r="C45" s="19">
        <v>10</v>
      </c>
      <c r="D45" s="19">
        <v>41</v>
      </c>
      <c r="E45" s="19"/>
      <c r="F45" s="19"/>
      <c r="G45" s="19">
        <f>COUNTIFS('Automatisations métiers'!A:A,'2026'!C$3,'Automatisations métiers'!C:C,'2026'!D45)</f>
        <v>0</v>
      </c>
      <c r="H45" s="19">
        <f>COUNTIFS('Automatisations Odoo'!A:A,'2026'!C$3,'Automatisations Odoo'!C:C,'2026'!D45)</f>
        <v>0</v>
      </c>
      <c r="I45" s="19">
        <f>SUMIFS('Tests Phishing'!F:F,'Tests Phishing'!A:A,'2026'!C$3,'Tests Phishing'!C:C,'2026'!D45)</f>
        <v>0</v>
      </c>
      <c r="J45" s="19">
        <f>COUNTIFS('Maintenances Production'!A:A,'2026'!C$3,'Maintenances Production'!C:C,'2026'!D45)</f>
        <v>0</v>
      </c>
      <c r="K45" s="4"/>
      <c r="L45" s="4">
        <f>K45+L44</f>
        <v>1090</v>
      </c>
      <c r="M45" s="4"/>
      <c r="N45" s="9">
        <f>M45+N44</f>
        <v>1617</v>
      </c>
      <c r="O45" s="12"/>
      <c r="P45" s="12"/>
    </row>
    <row r="46" spans="3:16" x14ac:dyDescent="0.2">
      <c r="C46" s="19">
        <v>10</v>
      </c>
      <c r="D46" s="19">
        <v>42</v>
      </c>
      <c r="E46" s="19"/>
      <c r="F46" s="19"/>
      <c r="G46" s="19">
        <f>COUNTIFS('Automatisations métiers'!A:A,'2026'!C$3,'Automatisations métiers'!C:C,'2026'!D46)</f>
        <v>0</v>
      </c>
      <c r="H46" s="19">
        <f>COUNTIFS('Automatisations Odoo'!A:A,'2026'!C$3,'Automatisations Odoo'!C:C,'2026'!D46)</f>
        <v>0</v>
      </c>
      <c r="I46" s="19">
        <f>SUMIFS('Tests Phishing'!F:F,'Tests Phishing'!A:A,'2026'!C$3,'Tests Phishing'!C:C,'2026'!D46)</f>
        <v>0</v>
      </c>
      <c r="J46" s="19">
        <f>COUNTIFS('Maintenances Production'!A:A,'2026'!C$3,'Maintenances Production'!C:C,'2026'!D46)</f>
        <v>0</v>
      </c>
      <c r="K46" s="4"/>
      <c r="L46" s="4">
        <f>K46+L45</f>
        <v>1090</v>
      </c>
      <c r="M46" s="4"/>
      <c r="N46" s="9">
        <f>M46+N45</f>
        <v>1617</v>
      </c>
      <c r="O46" s="12"/>
      <c r="P46" s="12"/>
    </row>
    <row r="47" spans="3:16" x14ac:dyDescent="0.2">
      <c r="C47" s="19">
        <v>10</v>
      </c>
      <c r="D47" s="19">
        <v>43</v>
      </c>
      <c r="E47" s="19"/>
      <c r="F47" s="19"/>
      <c r="G47" s="19">
        <f>COUNTIFS('Automatisations métiers'!A:A,'2026'!C$3,'Automatisations métiers'!C:C,'2026'!D47)</f>
        <v>0</v>
      </c>
      <c r="H47" s="19">
        <f>COUNTIFS('Automatisations Odoo'!A:A,'2026'!C$3,'Automatisations Odoo'!C:C,'2026'!D47)</f>
        <v>0</v>
      </c>
      <c r="I47" s="19">
        <f>SUMIFS('Tests Phishing'!F:F,'Tests Phishing'!A:A,'2026'!C$3,'Tests Phishing'!C:C,'2026'!D47)</f>
        <v>0</v>
      </c>
      <c r="J47" s="19">
        <f>COUNTIFS('Maintenances Production'!A:A,'2026'!C$3,'Maintenances Production'!C:C,'2026'!D47)</f>
        <v>0</v>
      </c>
      <c r="K47" s="4"/>
      <c r="L47" s="4">
        <f>K47+L46</f>
        <v>1090</v>
      </c>
      <c r="M47" s="4"/>
      <c r="N47" s="9">
        <f>M47+N46</f>
        <v>1617</v>
      </c>
      <c r="O47" s="12"/>
      <c r="P47" s="12"/>
    </row>
    <row r="48" spans="3:16" x14ac:dyDescent="0.2">
      <c r="C48" s="19">
        <v>10</v>
      </c>
      <c r="D48" s="19">
        <v>44</v>
      </c>
      <c r="E48" s="19"/>
      <c r="F48" s="19"/>
      <c r="G48" s="19">
        <f>COUNTIFS('Automatisations métiers'!A:A,'2026'!C$3,'Automatisations métiers'!C:C,'2026'!D48)</f>
        <v>0</v>
      </c>
      <c r="H48" s="19">
        <f>COUNTIFS('Automatisations Odoo'!A:A,'2026'!C$3,'Automatisations Odoo'!C:C,'2026'!D48)</f>
        <v>0</v>
      </c>
      <c r="I48" s="19">
        <f>SUMIFS('Tests Phishing'!F:F,'Tests Phishing'!A:A,'2026'!C$3,'Tests Phishing'!C:C,'2026'!D48)</f>
        <v>0</v>
      </c>
      <c r="J48" s="19">
        <f>COUNTIFS('Maintenances Production'!A:A,'2026'!C$3,'Maintenances Production'!C:C,'2026'!D48)</f>
        <v>0</v>
      </c>
      <c r="K48" s="4"/>
      <c r="L48" s="4">
        <f>K48+L47</f>
        <v>1090</v>
      </c>
      <c r="M48" s="4"/>
      <c r="N48" s="9">
        <f>M48+N47</f>
        <v>1617</v>
      </c>
      <c r="O48" s="12"/>
      <c r="P48" s="12"/>
    </row>
    <row r="49" spans="3:16" x14ac:dyDescent="0.2">
      <c r="C49" s="19">
        <v>11</v>
      </c>
      <c r="D49" s="19">
        <v>45</v>
      </c>
      <c r="E49" s="19"/>
      <c r="F49" s="19"/>
      <c r="G49" s="19">
        <f>COUNTIFS('Automatisations métiers'!A:A,'2026'!C$3,'Automatisations métiers'!C:C,'2026'!D49)</f>
        <v>0</v>
      </c>
      <c r="H49" s="19">
        <f>COUNTIFS('Automatisations Odoo'!A:A,'2026'!C$3,'Automatisations Odoo'!C:C,'2026'!D49)</f>
        <v>0</v>
      </c>
      <c r="I49" s="19">
        <f>SUMIFS('Tests Phishing'!F:F,'Tests Phishing'!A:A,'2026'!C$3,'Tests Phishing'!C:C,'2026'!D49)</f>
        <v>0</v>
      </c>
      <c r="J49" s="19">
        <f>COUNTIFS('Maintenances Production'!A:A,'2026'!C$3,'Maintenances Production'!C:C,'2026'!D49)</f>
        <v>0</v>
      </c>
      <c r="K49" s="4"/>
      <c r="L49" s="4">
        <f>K49+L48</f>
        <v>1090</v>
      </c>
      <c r="M49" s="4"/>
      <c r="N49" s="9">
        <f>M49+N48</f>
        <v>1617</v>
      </c>
      <c r="O49" s="12"/>
      <c r="P49" s="12"/>
    </row>
    <row r="50" spans="3:16" x14ac:dyDescent="0.2">
      <c r="C50" s="19">
        <v>11</v>
      </c>
      <c r="D50" s="19">
        <v>46</v>
      </c>
      <c r="E50" s="19"/>
      <c r="F50" s="19"/>
      <c r="G50" s="19">
        <f>COUNTIFS('Automatisations métiers'!A:A,'2026'!C$3,'Automatisations métiers'!C:C,'2026'!D50)</f>
        <v>0</v>
      </c>
      <c r="H50" s="19">
        <f>COUNTIFS('Automatisations Odoo'!A:A,'2026'!C$3,'Automatisations Odoo'!C:C,'2026'!D50)</f>
        <v>0</v>
      </c>
      <c r="I50" s="19">
        <f>SUMIFS('Tests Phishing'!F:F,'Tests Phishing'!A:A,'2026'!C$3,'Tests Phishing'!C:C,'2026'!D50)</f>
        <v>0</v>
      </c>
      <c r="J50" s="19">
        <f>COUNTIFS('Maintenances Production'!A:A,'2026'!C$3,'Maintenances Production'!C:C,'2026'!D50)</f>
        <v>0</v>
      </c>
      <c r="K50" s="4"/>
      <c r="L50" s="4">
        <f>K50+L49</f>
        <v>1090</v>
      </c>
      <c r="M50" s="4"/>
      <c r="N50" s="9">
        <f>M50+N49</f>
        <v>1617</v>
      </c>
      <c r="O50" s="12"/>
      <c r="P50" s="12"/>
    </row>
    <row r="51" spans="3:16" x14ac:dyDescent="0.2">
      <c r="C51" s="19">
        <v>11</v>
      </c>
      <c r="D51" s="19">
        <v>47</v>
      </c>
      <c r="E51" s="19"/>
      <c r="F51" s="19"/>
      <c r="G51" s="19">
        <f>COUNTIFS('Automatisations métiers'!A:A,'2026'!C$3,'Automatisations métiers'!C:C,'2026'!D51)</f>
        <v>0</v>
      </c>
      <c r="H51" s="19">
        <f>COUNTIFS('Automatisations Odoo'!A:A,'2026'!C$3,'Automatisations Odoo'!C:C,'2026'!D51)</f>
        <v>0</v>
      </c>
      <c r="I51" s="19">
        <f>SUMIFS('Tests Phishing'!F:F,'Tests Phishing'!A:A,'2026'!C$3,'Tests Phishing'!C:C,'2026'!D51)</f>
        <v>0</v>
      </c>
      <c r="J51" s="19">
        <f>COUNTIFS('Maintenances Production'!A:A,'2026'!C$3,'Maintenances Production'!C:C,'2026'!D51)</f>
        <v>0</v>
      </c>
      <c r="K51" s="4"/>
      <c r="L51" s="4">
        <f>K51+L50</f>
        <v>1090</v>
      </c>
      <c r="M51" s="4"/>
      <c r="N51" s="9">
        <f>M51+N50</f>
        <v>1617</v>
      </c>
      <c r="O51" s="12"/>
      <c r="P51" s="12"/>
    </row>
    <row r="52" spans="3:16" x14ac:dyDescent="0.2">
      <c r="C52" s="19">
        <v>11</v>
      </c>
      <c r="D52" s="19">
        <v>48</v>
      </c>
      <c r="E52" s="19"/>
      <c r="F52" s="19"/>
      <c r="G52" s="19">
        <f>COUNTIFS('Automatisations métiers'!A:A,'2026'!C$3,'Automatisations métiers'!C:C,'2026'!D52)</f>
        <v>0</v>
      </c>
      <c r="H52" s="19">
        <f>COUNTIFS('Automatisations Odoo'!A:A,'2026'!C$3,'Automatisations Odoo'!C:C,'2026'!D52)</f>
        <v>0</v>
      </c>
      <c r="I52" s="19">
        <f>SUMIFS('Tests Phishing'!F:F,'Tests Phishing'!A:A,'2026'!C$3,'Tests Phishing'!C:C,'2026'!D52)</f>
        <v>0</v>
      </c>
      <c r="J52" s="19">
        <f>COUNTIFS('Maintenances Production'!A:A,'2026'!C$3,'Maintenances Production'!C:C,'2026'!D52)</f>
        <v>0</v>
      </c>
      <c r="K52" s="4"/>
      <c r="L52" s="4">
        <f>K52+L51</f>
        <v>1090</v>
      </c>
      <c r="M52" s="4"/>
      <c r="N52" s="9">
        <f>M52+N51</f>
        <v>1617</v>
      </c>
      <c r="O52" s="12"/>
      <c r="P52" s="12"/>
    </row>
    <row r="53" spans="3:16" x14ac:dyDescent="0.2">
      <c r="C53" s="19">
        <v>12</v>
      </c>
      <c r="D53" s="19">
        <v>49</v>
      </c>
      <c r="E53" s="19"/>
      <c r="F53" s="19"/>
      <c r="G53" s="19">
        <f>COUNTIFS('Automatisations métiers'!A:A,'2026'!C$3,'Automatisations métiers'!C:C,'2026'!D53)</f>
        <v>0</v>
      </c>
      <c r="H53" s="19">
        <f>COUNTIFS('Automatisations Odoo'!A:A,'2026'!C$3,'Automatisations Odoo'!C:C,'2026'!D53)</f>
        <v>0</v>
      </c>
      <c r="I53" s="19">
        <f>SUMIFS('Tests Phishing'!F:F,'Tests Phishing'!A:A,'2026'!C$3,'Tests Phishing'!C:C,'2026'!D53)</f>
        <v>0</v>
      </c>
      <c r="J53" s="19">
        <f>COUNTIFS('Maintenances Production'!A:A,'2026'!C$3,'Maintenances Production'!C:C,'2026'!D53)</f>
        <v>0</v>
      </c>
      <c r="K53" s="4"/>
      <c r="L53" s="4">
        <f>K53+L52</f>
        <v>1090</v>
      </c>
      <c r="M53" s="4"/>
      <c r="N53" s="9">
        <f>M53+N52</f>
        <v>1617</v>
      </c>
      <c r="O53" s="12"/>
      <c r="P53" s="12"/>
    </row>
    <row r="54" spans="3:16" x14ac:dyDescent="0.2">
      <c r="C54" s="19">
        <v>12</v>
      </c>
      <c r="D54" s="19">
        <v>50</v>
      </c>
      <c r="E54" s="19"/>
      <c r="F54" s="19"/>
      <c r="G54" s="19">
        <f>COUNTIFS('Automatisations métiers'!A:A,'2026'!C$3,'Automatisations métiers'!C:C,'2026'!D54)</f>
        <v>0</v>
      </c>
      <c r="H54" s="19">
        <f>COUNTIFS('Automatisations Odoo'!A:A,'2026'!C$3,'Automatisations Odoo'!C:C,'2026'!D54)</f>
        <v>0</v>
      </c>
      <c r="I54" s="19">
        <f>SUMIFS('Tests Phishing'!F:F,'Tests Phishing'!A:A,'2026'!C$3,'Tests Phishing'!C:C,'2026'!D54)</f>
        <v>0</v>
      </c>
      <c r="J54" s="19">
        <f>COUNTIFS('Maintenances Production'!A:A,'2026'!C$3,'Maintenances Production'!C:C,'2026'!D54)</f>
        <v>0</v>
      </c>
      <c r="K54" s="4"/>
      <c r="L54" s="4">
        <f>K54+L53</f>
        <v>1090</v>
      </c>
      <c r="M54" s="4"/>
      <c r="N54" s="9">
        <f>M54+N53</f>
        <v>1617</v>
      </c>
      <c r="O54" s="12"/>
      <c r="P54" s="12"/>
    </row>
    <row r="55" spans="3:16" x14ac:dyDescent="0.2">
      <c r="C55" s="19">
        <v>12</v>
      </c>
      <c r="D55" s="19">
        <v>51</v>
      </c>
      <c r="E55" s="19"/>
      <c r="F55" s="19"/>
      <c r="G55" s="19">
        <f>COUNTIFS('Automatisations métiers'!A:A,'2026'!C$3,'Automatisations métiers'!C:C,'2026'!D55)</f>
        <v>0</v>
      </c>
      <c r="H55" s="19">
        <f>COUNTIFS('Automatisations Odoo'!A:A,'2026'!C$3,'Automatisations Odoo'!C:C,'2026'!D55)</f>
        <v>0</v>
      </c>
      <c r="I55" s="19">
        <f>SUMIFS('Tests Phishing'!F:F,'Tests Phishing'!A:A,'2026'!C$3,'Tests Phishing'!C:C,'2026'!D55)</f>
        <v>0</v>
      </c>
      <c r="J55" s="19">
        <f>COUNTIFS('Maintenances Production'!A:A,'2026'!C$3,'Maintenances Production'!C:C,'2026'!D55)</f>
        <v>0</v>
      </c>
      <c r="K55" s="4"/>
      <c r="L55" s="4">
        <f>K55+L54</f>
        <v>1090</v>
      </c>
      <c r="M55" s="4"/>
      <c r="N55" s="9">
        <f>M55+N54</f>
        <v>1617</v>
      </c>
      <c r="O55" s="12"/>
      <c r="P55" s="12"/>
    </row>
    <row r="56" spans="3:16" x14ac:dyDescent="0.2">
      <c r="C56" s="19">
        <v>12</v>
      </c>
      <c r="D56" s="19">
        <v>52</v>
      </c>
      <c r="E56" s="19"/>
      <c r="F56" s="19"/>
      <c r="G56" s="19">
        <f>COUNTIFS('Automatisations métiers'!A:A,'2026'!C$3,'Automatisations métiers'!C:C,'2026'!D56)</f>
        <v>0</v>
      </c>
      <c r="H56" s="19">
        <f>COUNTIFS('Automatisations Odoo'!A:A,'2026'!C$3,'Automatisations Odoo'!C:C,'2026'!D56)</f>
        <v>0</v>
      </c>
      <c r="I56" s="19">
        <f>SUMIFS('Tests Phishing'!F:F,'Tests Phishing'!A:A,'2026'!C$3,'Tests Phishing'!C:C,'2026'!D56)</f>
        <v>0</v>
      </c>
      <c r="J56" s="19">
        <f>COUNTIFS('Maintenances Production'!A:A,'2026'!C$3,'Maintenances Production'!C:C,'2026'!D56)</f>
        <v>0</v>
      </c>
      <c r="K56" s="4"/>
      <c r="L56" s="4">
        <f>K56+L55</f>
        <v>1090</v>
      </c>
      <c r="M56" s="4"/>
      <c r="N56" s="9">
        <f>M56+N55</f>
        <v>1617</v>
      </c>
      <c r="O56" s="12"/>
      <c r="P56" s="12"/>
    </row>
  </sheetData>
  <mergeCells count="14">
    <mergeCell ref="C2:D2"/>
    <mergeCell ref="G2:H2"/>
    <mergeCell ref="E2:F2"/>
    <mergeCell ref="I2:J2"/>
    <mergeCell ref="P32:P33"/>
    <mergeCell ref="K2:N2"/>
    <mergeCell ref="M3:N3"/>
    <mergeCell ref="C3:D3"/>
    <mergeCell ref="K3:L3"/>
    <mergeCell ref="G4:H4"/>
    <mergeCell ref="E4:F4"/>
    <mergeCell ref="O32:O33"/>
    <mergeCell ref="I4:J4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J29"/>
  <sheetViews>
    <sheetView tabSelected="1" zoomScaleNormal="100" zoomScaleSheetLayoutView="100" workbookViewId="0">
      <selection activeCell="E15" sqref="E15"/>
    </sheetView>
  </sheetViews>
  <sheetFormatPr defaultRowHeight="15" x14ac:dyDescent="0.2"/>
  <cols>
    <col min="4" max="4" width="72.23828125" customWidth="1"/>
    <col min="5" max="5" width="19.90625" customWidth="1"/>
  </cols>
  <sheetData>
    <row r="1" spans="1:10" ht="19.5" customHeight="1" x14ac:dyDescent="0.2">
      <c r="A1" s="5" t="s">
        <v>30</v>
      </c>
      <c r="B1" s="5" t="s">
        <v>15</v>
      </c>
      <c r="C1" s="5" t="s">
        <v>16</v>
      </c>
      <c r="D1" s="5" t="s">
        <v>31</v>
      </c>
      <c r="E1" s="5" t="s">
        <v>32</v>
      </c>
    </row>
    <row r="2" spans="1:10" x14ac:dyDescent="0.2">
      <c r="A2" s="19">
        <v>2026</v>
      </c>
      <c r="B2" s="19">
        <v>5</v>
      </c>
      <c r="C2" s="19">
        <v>19</v>
      </c>
      <c r="D2" s="19" t="s">
        <v>33</v>
      </c>
      <c r="E2" s="19" t="s">
        <v>34</v>
      </c>
      <c r="H2" s="7"/>
      <c r="I2" s="8"/>
      <c r="J2" s="8"/>
    </row>
    <row r="3" spans="1:10" x14ac:dyDescent="0.2">
      <c r="A3" s="19">
        <v>2026</v>
      </c>
      <c r="B3" s="19">
        <v>5</v>
      </c>
      <c r="C3" s="19">
        <v>19</v>
      </c>
      <c r="D3" s="19" t="s">
        <v>35</v>
      </c>
      <c r="E3" s="19" t="s">
        <v>36</v>
      </c>
    </row>
    <row r="4" spans="1:10" x14ac:dyDescent="0.2">
      <c r="A4" s="19">
        <v>2026</v>
      </c>
      <c r="B4" s="19">
        <v>5</v>
      </c>
      <c r="C4" s="19">
        <v>19</v>
      </c>
      <c r="D4" s="19" t="s">
        <v>37</v>
      </c>
      <c r="E4" s="19" t="s">
        <v>36</v>
      </c>
    </row>
    <row r="5" spans="1:10" x14ac:dyDescent="0.2">
      <c r="A5" s="19">
        <v>2026</v>
      </c>
      <c r="B5" s="19">
        <v>5</v>
      </c>
      <c r="C5" s="19">
        <v>22</v>
      </c>
      <c r="D5" s="19" t="s">
        <v>38</v>
      </c>
      <c r="E5" s="19" t="s">
        <v>36</v>
      </c>
    </row>
    <row r="6" spans="1:10" x14ac:dyDescent="0.2">
      <c r="A6" s="19">
        <v>2026</v>
      </c>
      <c r="B6" s="19">
        <v>5</v>
      </c>
      <c r="C6" s="19">
        <v>22</v>
      </c>
      <c r="D6" s="19" t="s">
        <v>39</v>
      </c>
      <c r="E6" s="19" t="s">
        <v>36</v>
      </c>
    </row>
    <row r="7" spans="1:10" x14ac:dyDescent="0.2">
      <c r="A7" s="19">
        <v>2026</v>
      </c>
      <c r="B7" s="19">
        <v>6</v>
      </c>
      <c r="C7" s="19">
        <v>23</v>
      </c>
      <c r="D7" s="19" t="s">
        <v>40</v>
      </c>
      <c r="E7" s="19" t="s">
        <v>36</v>
      </c>
    </row>
    <row r="8" spans="1:10" x14ac:dyDescent="0.2">
      <c r="A8" s="19">
        <v>2026</v>
      </c>
      <c r="B8" s="19">
        <v>6</v>
      </c>
      <c r="C8" s="19">
        <v>24</v>
      </c>
      <c r="D8" s="19" t="s">
        <v>41</v>
      </c>
      <c r="E8" s="19" t="s">
        <v>36</v>
      </c>
    </row>
    <row r="9" spans="1:10" x14ac:dyDescent="0.2">
      <c r="A9" s="19">
        <v>2026</v>
      </c>
      <c r="B9" s="19">
        <v>7</v>
      </c>
      <c r="C9" s="19">
        <v>28</v>
      </c>
      <c r="D9" s="19" t="s">
        <v>42</v>
      </c>
      <c r="E9" s="19" t="s">
        <v>34</v>
      </c>
    </row>
    <row r="10" spans="1:10" x14ac:dyDescent="0.2">
      <c r="A10" s="19">
        <v>2026</v>
      </c>
      <c r="B10" s="19">
        <v>7</v>
      </c>
      <c r="C10" s="19">
        <v>29</v>
      </c>
      <c r="D10" s="19" t="s">
        <v>43</v>
      </c>
      <c r="E10" s="19" t="s">
        <v>44</v>
      </c>
    </row>
    <row r="11" spans="1:10" x14ac:dyDescent="0.2">
      <c r="A11" s="19">
        <v>2026</v>
      </c>
      <c r="B11" s="19">
        <v>7</v>
      </c>
      <c r="C11" s="19">
        <v>31</v>
      </c>
      <c r="D11" s="19" t="s">
        <v>45</v>
      </c>
      <c r="E11" s="19" t="s">
        <v>34</v>
      </c>
    </row>
    <row r="12" spans="1:10" x14ac:dyDescent="0.2">
      <c r="A12" s="19"/>
      <c r="B12" s="19"/>
      <c r="C12" s="19"/>
      <c r="D12" s="19"/>
      <c r="E12" s="19"/>
    </row>
    <row r="13" spans="1:10" x14ac:dyDescent="0.2">
      <c r="A13" s="19"/>
      <c r="B13" s="19"/>
      <c r="C13" s="19"/>
      <c r="D13" s="19"/>
      <c r="E13" s="19"/>
    </row>
    <row r="14" spans="1:10" x14ac:dyDescent="0.2">
      <c r="A14" s="19"/>
      <c r="B14" s="19"/>
      <c r="C14" s="19"/>
      <c r="D14" s="19"/>
      <c r="E14" s="19"/>
    </row>
    <row r="15" spans="1:10" x14ac:dyDescent="0.2">
      <c r="A15" s="19"/>
      <c r="B15" s="19"/>
      <c r="C15" s="19"/>
      <c r="D15" s="19"/>
      <c r="E15" s="19"/>
    </row>
    <row r="16" spans="1:10" x14ac:dyDescent="0.2">
      <c r="A16" s="19"/>
      <c r="B16" s="19"/>
      <c r="C16" s="19"/>
      <c r="D16" s="19"/>
      <c r="E16" s="19"/>
    </row>
    <row r="17" spans="1:5" x14ac:dyDescent="0.2">
      <c r="A17" s="19"/>
      <c r="B17" s="19"/>
      <c r="C17" s="19"/>
      <c r="D17" s="19"/>
      <c r="E17" s="19"/>
    </row>
    <row r="18" spans="1:5" x14ac:dyDescent="0.2">
      <c r="A18" s="19"/>
      <c r="B18" s="19"/>
      <c r="C18" s="19"/>
      <c r="D18" s="19"/>
      <c r="E18" s="19"/>
    </row>
    <row r="19" spans="1:5" x14ac:dyDescent="0.2">
      <c r="A19" s="19"/>
      <c r="B19" s="19"/>
      <c r="C19" s="19"/>
      <c r="D19" s="19"/>
      <c r="E19" s="19"/>
    </row>
    <row r="20" spans="1:5" x14ac:dyDescent="0.2">
      <c r="A20" s="19"/>
      <c r="B20" s="19"/>
      <c r="C20" s="19"/>
      <c r="D20" s="19"/>
      <c r="E20" s="19"/>
    </row>
    <row r="21" spans="1:5" x14ac:dyDescent="0.2">
      <c r="A21" s="19"/>
      <c r="B21" s="19"/>
      <c r="C21" s="19"/>
      <c r="D21" s="19"/>
      <c r="E21" s="19"/>
    </row>
    <row r="22" spans="1:5" x14ac:dyDescent="0.2">
      <c r="A22" s="19"/>
      <c r="B22" s="19"/>
      <c r="C22" s="19"/>
      <c r="D22" s="19"/>
      <c r="E22" s="19"/>
    </row>
    <row r="23" spans="1:5" x14ac:dyDescent="0.2">
      <c r="A23" s="19"/>
      <c r="B23" s="19"/>
      <c r="C23" s="19"/>
      <c r="D23" s="19"/>
      <c r="E23" s="19"/>
    </row>
    <row r="24" spans="1:5" x14ac:dyDescent="0.2">
      <c r="A24" s="19"/>
      <c r="B24" s="19"/>
      <c r="C24" s="19"/>
      <c r="D24" s="19"/>
      <c r="E24" s="19"/>
    </row>
    <row r="25" spans="1:5" x14ac:dyDescent="0.2">
      <c r="A25" s="19"/>
      <c r="B25" s="19"/>
      <c r="C25" s="19"/>
      <c r="D25" s="19"/>
      <c r="E25" s="19"/>
    </row>
    <row r="26" spans="1:5" x14ac:dyDescent="0.2">
      <c r="A26" s="19"/>
      <c r="B26" s="19"/>
      <c r="C26" s="19"/>
      <c r="D26" s="19"/>
      <c r="E26" s="19"/>
    </row>
    <row r="27" spans="1:5" x14ac:dyDescent="0.2">
      <c r="A27" s="19"/>
      <c r="B27" s="19"/>
      <c r="C27" s="19"/>
      <c r="D27" s="19"/>
      <c r="E27" s="19"/>
    </row>
    <row r="28" spans="1:5" x14ac:dyDescent="0.2">
      <c r="A28" s="19"/>
      <c r="B28" s="19"/>
      <c r="C28" s="19"/>
      <c r="D28" s="19"/>
      <c r="E28" s="19"/>
    </row>
    <row r="29" spans="1:5" x14ac:dyDescent="0.2">
      <c r="A29" s="19"/>
      <c r="B29" s="19"/>
      <c r="C29" s="19"/>
      <c r="D29" s="19"/>
      <c r="E2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D4F70"/>
  </sheetPr>
  <dimension ref="A1:E29"/>
  <sheetViews>
    <sheetView zoomScaleNormal="100" zoomScaleSheetLayoutView="100" workbookViewId="0">
      <selection activeCell="D9" sqref="D9"/>
    </sheetView>
  </sheetViews>
  <sheetFormatPr defaultRowHeight="15" x14ac:dyDescent="0.2"/>
  <cols>
    <col min="4" max="4" width="59.59375" customWidth="1"/>
    <col min="5" max="5" width="19.90625" customWidth="1"/>
  </cols>
  <sheetData>
    <row r="1" spans="1:5" ht="19.5" customHeight="1" x14ac:dyDescent="0.2">
      <c r="A1" s="6" t="s">
        <v>30</v>
      </c>
      <c r="B1" s="6" t="s">
        <v>15</v>
      </c>
      <c r="C1" s="6" t="s">
        <v>16</v>
      </c>
      <c r="D1" s="6" t="s">
        <v>31</v>
      </c>
      <c r="E1" s="6" t="s">
        <v>32</v>
      </c>
    </row>
    <row r="2" spans="1:5" x14ac:dyDescent="0.2">
      <c r="A2" s="19">
        <v>2026</v>
      </c>
      <c r="B2" s="19">
        <v>5</v>
      </c>
      <c r="C2" s="19">
        <v>22</v>
      </c>
      <c r="D2" s="19" t="s">
        <v>46</v>
      </c>
      <c r="E2" s="19" t="s">
        <v>36</v>
      </c>
    </row>
    <row r="3" spans="1:5" x14ac:dyDescent="0.2">
      <c r="A3" s="19">
        <v>2026</v>
      </c>
      <c r="B3" s="19">
        <v>6</v>
      </c>
      <c r="C3" s="19">
        <v>23</v>
      </c>
      <c r="D3" s="19" t="s">
        <v>47</v>
      </c>
      <c r="E3" s="19" t="s">
        <v>36</v>
      </c>
    </row>
    <row r="4" spans="1:5" x14ac:dyDescent="0.2">
      <c r="A4" s="19">
        <v>2026</v>
      </c>
      <c r="B4" s="19">
        <v>6</v>
      </c>
      <c r="C4" s="19">
        <v>24</v>
      </c>
      <c r="D4" s="19" t="s">
        <v>48</v>
      </c>
      <c r="E4" s="19" t="s">
        <v>36</v>
      </c>
    </row>
    <row r="5" spans="1:5" x14ac:dyDescent="0.2">
      <c r="A5" s="19"/>
      <c r="B5" s="19"/>
      <c r="C5" s="19"/>
      <c r="D5" s="19"/>
      <c r="E5" s="19"/>
    </row>
    <row r="6" spans="1:5" x14ac:dyDescent="0.2">
      <c r="A6" s="19"/>
      <c r="B6" s="19"/>
      <c r="C6" s="19"/>
      <c r="D6" s="19"/>
      <c r="E6" s="19"/>
    </row>
    <row r="7" spans="1:5" x14ac:dyDescent="0.2">
      <c r="A7" s="19"/>
      <c r="B7" s="19"/>
      <c r="C7" s="19"/>
      <c r="D7" s="19"/>
      <c r="E7" s="19"/>
    </row>
    <row r="8" spans="1:5" x14ac:dyDescent="0.2">
      <c r="A8" s="19"/>
      <c r="B8" s="19"/>
      <c r="C8" s="19"/>
      <c r="D8" s="19"/>
      <c r="E8" s="19"/>
    </row>
    <row r="9" spans="1:5" x14ac:dyDescent="0.2">
      <c r="A9" s="19"/>
      <c r="B9" s="19"/>
      <c r="C9" s="19"/>
      <c r="D9" s="19"/>
      <c r="E9" s="19"/>
    </row>
    <row r="10" spans="1:5" x14ac:dyDescent="0.2">
      <c r="A10" s="19"/>
      <c r="B10" s="19"/>
      <c r="C10" s="19"/>
      <c r="D10" s="19"/>
      <c r="E10" s="19"/>
    </row>
    <row r="11" spans="1:5" x14ac:dyDescent="0.2">
      <c r="A11" s="19"/>
      <c r="B11" s="19"/>
      <c r="C11" s="19"/>
      <c r="D11" s="19"/>
      <c r="E11" s="19"/>
    </row>
    <row r="12" spans="1:5" x14ac:dyDescent="0.2">
      <c r="A12" s="19"/>
      <c r="B12" s="19"/>
      <c r="C12" s="19"/>
      <c r="D12" s="19"/>
      <c r="E12" s="19"/>
    </row>
    <row r="13" spans="1:5" x14ac:dyDescent="0.2">
      <c r="A13" s="19"/>
      <c r="B13" s="19"/>
      <c r="C13" s="19"/>
      <c r="D13" s="19"/>
      <c r="E13" s="19"/>
    </row>
    <row r="14" spans="1:5" x14ac:dyDescent="0.2">
      <c r="A14" s="19"/>
      <c r="B14" s="19"/>
      <c r="C14" s="19"/>
      <c r="D14" s="19"/>
      <c r="E14" s="19"/>
    </row>
    <row r="15" spans="1:5" x14ac:dyDescent="0.2">
      <c r="A15" s="19"/>
      <c r="B15" s="19"/>
      <c r="C15" s="19"/>
      <c r="D15" s="19"/>
      <c r="E15" s="19"/>
    </row>
    <row r="16" spans="1:5" x14ac:dyDescent="0.2">
      <c r="A16" s="19"/>
      <c r="B16" s="19"/>
      <c r="C16" s="19"/>
      <c r="D16" s="19"/>
      <c r="E16" s="19"/>
    </row>
    <row r="17" spans="1:5" x14ac:dyDescent="0.2">
      <c r="A17" s="19"/>
      <c r="B17" s="19"/>
      <c r="C17" s="19"/>
      <c r="D17" s="19"/>
      <c r="E17" s="19"/>
    </row>
    <row r="18" spans="1:5" x14ac:dyDescent="0.2">
      <c r="A18" s="19"/>
      <c r="B18" s="19"/>
      <c r="C18" s="19"/>
      <c r="D18" s="19"/>
      <c r="E18" s="19"/>
    </row>
    <row r="19" spans="1:5" x14ac:dyDescent="0.2">
      <c r="A19" s="19"/>
      <c r="B19" s="19"/>
      <c r="C19" s="19"/>
      <c r="D19" s="19"/>
      <c r="E19" s="19"/>
    </row>
    <row r="20" spans="1:5" x14ac:dyDescent="0.2">
      <c r="A20" s="19"/>
      <c r="B20" s="19"/>
      <c r="C20" s="19"/>
      <c r="D20" s="19"/>
      <c r="E20" s="19"/>
    </row>
    <row r="21" spans="1:5" x14ac:dyDescent="0.2">
      <c r="A21" s="19"/>
      <c r="B21" s="19"/>
      <c r="C21" s="19"/>
      <c r="D21" s="19"/>
      <c r="E21" s="19"/>
    </row>
    <row r="22" spans="1:5" x14ac:dyDescent="0.2">
      <c r="A22" s="19"/>
      <c r="B22" s="19"/>
      <c r="C22" s="19"/>
      <c r="D22" s="19"/>
      <c r="E22" s="19"/>
    </row>
    <row r="23" spans="1:5" x14ac:dyDescent="0.2">
      <c r="A23" s="19"/>
      <c r="B23" s="19"/>
      <c r="C23" s="19"/>
      <c r="D23" s="19"/>
      <c r="E23" s="19"/>
    </row>
    <row r="24" spans="1:5" x14ac:dyDescent="0.2">
      <c r="A24" s="19"/>
      <c r="B24" s="19"/>
      <c r="C24" s="19"/>
      <c r="D24" s="19"/>
      <c r="E24" s="19"/>
    </row>
    <row r="25" spans="1:5" x14ac:dyDescent="0.2">
      <c r="A25" s="19"/>
      <c r="B25" s="19"/>
      <c r="C25" s="19"/>
      <c r="D25" s="19"/>
      <c r="E25" s="19"/>
    </row>
    <row r="26" spans="1:5" x14ac:dyDescent="0.2">
      <c r="A26" s="19"/>
      <c r="B26" s="19"/>
      <c r="C26" s="19"/>
      <c r="D26" s="19"/>
      <c r="E26" s="19"/>
    </row>
    <row r="27" spans="1:5" x14ac:dyDescent="0.2">
      <c r="A27" s="19"/>
      <c r="B27" s="19"/>
      <c r="C27" s="19"/>
      <c r="D27" s="19"/>
      <c r="E27" s="19"/>
    </row>
    <row r="28" spans="1:5" x14ac:dyDescent="0.2">
      <c r="A28" s="19"/>
      <c r="B28" s="19"/>
      <c r="C28" s="19"/>
      <c r="D28" s="19"/>
      <c r="E28" s="19"/>
    </row>
    <row r="29" spans="1:5" x14ac:dyDescent="0.2">
      <c r="A29" s="19"/>
      <c r="B29" s="19"/>
      <c r="C29" s="19"/>
      <c r="D29" s="19"/>
      <c r="E2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J24"/>
  <sheetViews>
    <sheetView zoomScaleNormal="100" zoomScaleSheetLayoutView="100" workbookViewId="0">
      <selection activeCell="D30" sqref="D30"/>
    </sheetView>
  </sheetViews>
  <sheetFormatPr defaultRowHeight="15" x14ac:dyDescent="0.2"/>
  <cols>
    <col min="4" max="4" width="72.23828125" customWidth="1"/>
    <col min="5" max="5" width="19.90625" customWidth="1"/>
    <col min="6" max="6" width="23.80859375" customWidth="1"/>
  </cols>
  <sheetData>
    <row r="1" spans="1:10" ht="19.5" customHeight="1" x14ac:dyDescent="0.2">
      <c r="A1" s="5" t="s">
        <v>30</v>
      </c>
      <c r="B1" s="5" t="s">
        <v>15</v>
      </c>
      <c r="C1" s="5" t="s">
        <v>16</v>
      </c>
      <c r="D1" s="5" t="s">
        <v>31</v>
      </c>
      <c r="E1" s="5" t="s">
        <v>32</v>
      </c>
      <c r="F1" s="5" t="s">
        <v>49</v>
      </c>
    </row>
    <row r="2" spans="1:10" x14ac:dyDescent="0.2">
      <c r="A2" s="19">
        <v>2026</v>
      </c>
      <c r="B2" s="19">
        <v>7</v>
      </c>
      <c r="C2" s="19">
        <v>31</v>
      </c>
      <c r="D2" s="19"/>
      <c r="E2" s="19" t="s">
        <v>44</v>
      </c>
      <c r="F2" s="19">
        <v>0</v>
      </c>
      <c r="H2" s="7"/>
      <c r="I2" s="8"/>
      <c r="J2" s="8"/>
    </row>
    <row r="3" spans="1:10" x14ac:dyDescent="0.2">
      <c r="A3" s="19"/>
      <c r="B3" s="19"/>
      <c r="C3" s="19"/>
      <c r="D3" s="19"/>
      <c r="E3" s="19"/>
      <c r="F3" s="19"/>
    </row>
    <row r="4" spans="1:10" x14ac:dyDescent="0.2">
      <c r="A4" s="19"/>
      <c r="B4" s="19"/>
      <c r="C4" s="19"/>
      <c r="D4" s="19"/>
      <c r="E4" s="19"/>
      <c r="F4" s="19"/>
    </row>
    <row r="5" spans="1:10" x14ac:dyDescent="0.2">
      <c r="A5" s="19"/>
      <c r="B5" s="19"/>
      <c r="C5" s="19"/>
      <c r="D5" s="19"/>
      <c r="E5" s="19"/>
      <c r="F5" s="19"/>
    </row>
    <row r="6" spans="1:10" x14ac:dyDescent="0.2">
      <c r="A6" s="19"/>
      <c r="B6" s="19"/>
      <c r="C6" s="19"/>
      <c r="D6" s="19"/>
      <c r="E6" s="19"/>
      <c r="F6" s="19"/>
    </row>
    <row r="7" spans="1:10" x14ac:dyDescent="0.2">
      <c r="A7" s="19"/>
      <c r="B7" s="19"/>
      <c r="C7" s="19"/>
      <c r="D7" s="19"/>
      <c r="E7" s="19"/>
      <c r="F7" s="19"/>
    </row>
    <row r="8" spans="1:10" x14ac:dyDescent="0.2">
      <c r="A8" s="19"/>
      <c r="B8" s="19"/>
      <c r="C8" s="19"/>
      <c r="D8" s="19"/>
      <c r="E8" s="19"/>
      <c r="F8" s="19"/>
    </row>
    <row r="9" spans="1:10" x14ac:dyDescent="0.2">
      <c r="A9" s="19"/>
      <c r="B9" s="19"/>
      <c r="C9" s="19"/>
      <c r="D9" s="19"/>
      <c r="E9" s="19"/>
      <c r="F9" s="19"/>
    </row>
    <row r="10" spans="1:10" x14ac:dyDescent="0.2">
      <c r="A10" s="19"/>
      <c r="B10" s="19"/>
      <c r="C10" s="19"/>
      <c r="D10" s="19"/>
      <c r="E10" s="19"/>
      <c r="F10" s="19"/>
    </row>
    <row r="11" spans="1:10" x14ac:dyDescent="0.2">
      <c r="A11" s="19"/>
      <c r="B11" s="19"/>
      <c r="C11" s="19"/>
      <c r="D11" s="19"/>
      <c r="E11" s="19"/>
      <c r="F11" s="19"/>
    </row>
    <row r="12" spans="1:10" x14ac:dyDescent="0.2">
      <c r="A12" s="19"/>
      <c r="B12" s="19"/>
      <c r="C12" s="19"/>
      <c r="D12" s="19"/>
      <c r="E12" s="19"/>
      <c r="F12" s="19"/>
    </row>
    <row r="13" spans="1:10" x14ac:dyDescent="0.2">
      <c r="A13" s="19"/>
      <c r="B13" s="19"/>
      <c r="C13" s="19"/>
      <c r="D13" s="19"/>
      <c r="E13" s="19"/>
      <c r="F13" s="19"/>
    </row>
    <row r="14" spans="1:10" x14ac:dyDescent="0.2">
      <c r="A14" s="19"/>
      <c r="B14" s="19"/>
      <c r="C14" s="19"/>
      <c r="D14" s="19"/>
      <c r="E14" s="19"/>
      <c r="F14" s="19"/>
    </row>
    <row r="15" spans="1:10" x14ac:dyDescent="0.2">
      <c r="A15" s="19"/>
      <c r="B15" s="19"/>
      <c r="C15" s="19"/>
      <c r="D15" s="19"/>
      <c r="E15" s="19"/>
      <c r="F15" s="19"/>
    </row>
    <row r="16" spans="1:10" x14ac:dyDescent="0.2">
      <c r="A16" s="19"/>
      <c r="B16" s="19"/>
      <c r="C16" s="19"/>
      <c r="D16" s="19"/>
      <c r="E16" s="19"/>
      <c r="F16" s="19"/>
    </row>
    <row r="17" spans="1:6" x14ac:dyDescent="0.2">
      <c r="A17" s="19"/>
      <c r="B17" s="19"/>
      <c r="C17" s="19"/>
      <c r="D17" s="19"/>
      <c r="E17" s="19"/>
      <c r="F17" s="19"/>
    </row>
    <row r="18" spans="1:6" x14ac:dyDescent="0.2">
      <c r="A18" s="19"/>
      <c r="B18" s="19"/>
      <c r="C18" s="19"/>
      <c r="D18" s="19"/>
      <c r="E18" s="19"/>
      <c r="F18" s="19"/>
    </row>
    <row r="19" spans="1:6" x14ac:dyDescent="0.2">
      <c r="A19" s="19"/>
      <c r="B19" s="19"/>
      <c r="C19" s="19"/>
      <c r="D19" s="19"/>
      <c r="E19" s="19"/>
      <c r="F19" s="19"/>
    </row>
    <row r="20" spans="1:6" x14ac:dyDescent="0.2">
      <c r="A20" s="19"/>
      <c r="B20" s="19"/>
      <c r="C20" s="19"/>
      <c r="D20" s="19"/>
      <c r="E20" s="19"/>
      <c r="F20" s="19"/>
    </row>
    <row r="21" spans="1:6" x14ac:dyDescent="0.2">
      <c r="A21" s="19"/>
      <c r="B21" s="19"/>
      <c r="C21" s="19"/>
      <c r="D21" s="19"/>
      <c r="E21" s="19"/>
      <c r="F21" s="19"/>
    </row>
    <row r="22" spans="1:6" x14ac:dyDescent="0.2">
      <c r="A22" s="19"/>
      <c r="B22" s="19"/>
      <c r="C22" s="19"/>
      <c r="D22" s="19"/>
      <c r="E22" s="19"/>
      <c r="F22" s="19"/>
    </row>
    <row r="23" spans="1:6" x14ac:dyDescent="0.2">
      <c r="A23" s="19"/>
      <c r="B23" s="19"/>
      <c r="C23" s="19"/>
      <c r="D23" s="19"/>
      <c r="E23" s="19"/>
      <c r="F23" s="19"/>
    </row>
    <row r="24" spans="1:6" x14ac:dyDescent="0.2">
      <c r="A24" s="19"/>
      <c r="B24" s="19"/>
      <c r="C24" s="19"/>
      <c r="D24" s="19"/>
      <c r="E24" s="19"/>
      <c r="F24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249977111117893"/>
  </sheetPr>
  <dimension ref="A1:J24"/>
  <sheetViews>
    <sheetView zoomScaleNormal="100" zoomScaleSheetLayoutView="100" workbookViewId="0">
      <selection activeCell="D27" sqref="D27"/>
    </sheetView>
  </sheetViews>
  <sheetFormatPr defaultRowHeight="15" x14ac:dyDescent="0.2"/>
  <cols>
    <col min="4" max="4" width="72.23828125" customWidth="1"/>
    <col min="5" max="5" width="19.90625" customWidth="1"/>
  </cols>
  <sheetData>
    <row r="1" spans="1:10" ht="19.5" customHeight="1" x14ac:dyDescent="0.2">
      <c r="A1" s="5" t="s">
        <v>30</v>
      </c>
      <c r="B1" s="5" t="s">
        <v>15</v>
      </c>
      <c r="C1" s="5" t="s">
        <v>16</v>
      </c>
      <c r="D1" s="5" t="s">
        <v>31</v>
      </c>
      <c r="E1" s="5" t="s">
        <v>32</v>
      </c>
    </row>
    <row r="2" spans="1:10" x14ac:dyDescent="0.2">
      <c r="A2" s="19">
        <v>2026</v>
      </c>
      <c r="B2" s="19">
        <v>5</v>
      </c>
      <c r="C2" s="19">
        <v>19</v>
      </c>
      <c r="D2" s="19" t="s">
        <v>50</v>
      </c>
      <c r="E2" s="19" t="s">
        <v>44</v>
      </c>
      <c r="H2" s="7"/>
      <c r="I2" s="8"/>
      <c r="J2" s="8"/>
    </row>
    <row r="3" spans="1:10" x14ac:dyDescent="0.2">
      <c r="A3" s="19">
        <v>2026</v>
      </c>
      <c r="B3" s="19">
        <v>5</v>
      </c>
      <c r="C3" s="19">
        <v>20</v>
      </c>
      <c r="D3" s="19" t="s">
        <v>51</v>
      </c>
      <c r="E3" s="19" t="s">
        <v>44</v>
      </c>
    </row>
    <row r="4" spans="1:10" x14ac:dyDescent="0.2">
      <c r="A4" s="19">
        <v>2026</v>
      </c>
      <c r="B4" s="19">
        <v>6</v>
      </c>
      <c r="C4" s="19">
        <v>26</v>
      </c>
      <c r="D4" s="19" t="s">
        <v>50</v>
      </c>
      <c r="E4" s="19" t="s">
        <v>44</v>
      </c>
    </row>
    <row r="5" spans="1:10" x14ac:dyDescent="0.2">
      <c r="A5" s="19">
        <v>2026</v>
      </c>
      <c r="B5" s="19">
        <v>7</v>
      </c>
      <c r="C5" s="19">
        <v>30</v>
      </c>
      <c r="D5" s="19" t="s">
        <v>50</v>
      </c>
      <c r="E5" s="19" t="s">
        <v>44</v>
      </c>
    </row>
    <row r="6" spans="1:10" x14ac:dyDescent="0.2">
      <c r="A6" s="19"/>
      <c r="B6" s="19"/>
      <c r="C6" s="19"/>
      <c r="D6" s="19"/>
      <c r="E6" s="19"/>
    </row>
    <row r="7" spans="1:10" x14ac:dyDescent="0.2">
      <c r="A7" s="19"/>
      <c r="B7" s="19"/>
      <c r="C7" s="19"/>
      <c r="D7" s="19"/>
      <c r="E7" s="19"/>
    </row>
    <row r="8" spans="1:10" x14ac:dyDescent="0.2">
      <c r="A8" s="19"/>
      <c r="B8" s="19"/>
      <c r="C8" s="19"/>
      <c r="D8" s="19"/>
      <c r="E8" s="19"/>
    </row>
    <row r="9" spans="1:10" x14ac:dyDescent="0.2">
      <c r="A9" s="19"/>
      <c r="B9" s="19"/>
      <c r="C9" s="19"/>
      <c r="D9" s="19"/>
      <c r="E9" s="19"/>
    </row>
    <row r="10" spans="1:10" x14ac:dyDescent="0.2">
      <c r="A10" s="19"/>
      <c r="B10" s="19"/>
      <c r="C10" s="19"/>
      <c r="D10" s="19"/>
      <c r="E10" s="19"/>
    </row>
    <row r="11" spans="1:10" x14ac:dyDescent="0.2">
      <c r="A11" s="19"/>
      <c r="B11" s="19"/>
      <c r="C11" s="19"/>
      <c r="D11" s="19"/>
      <c r="E11" s="19"/>
    </row>
    <row r="12" spans="1:10" x14ac:dyDescent="0.2">
      <c r="A12" s="19"/>
      <c r="B12" s="19"/>
      <c r="C12" s="19"/>
      <c r="D12" s="19"/>
      <c r="E12" s="19"/>
    </row>
    <row r="13" spans="1:10" x14ac:dyDescent="0.2">
      <c r="A13" s="19"/>
      <c r="B13" s="19"/>
      <c r="C13" s="19"/>
      <c r="D13" s="19"/>
      <c r="E13" s="19"/>
    </row>
    <row r="14" spans="1:10" x14ac:dyDescent="0.2">
      <c r="A14" s="19"/>
      <c r="B14" s="19"/>
      <c r="C14" s="19"/>
      <c r="D14" s="19"/>
      <c r="E14" s="19"/>
    </row>
    <row r="15" spans="1:10" x14ac:dyDescent="0.2">
      <c r="A15" s="19"/>
      <c r="B15" s="19"/>
      <c r="C15" s="19"/>
      <c r="D15" s="19"/>
      <c r="E15" s="19"/>
    </row>
    <row r="16" spans="1:10" x14ac:dyDescent="0.2">
      <c r="A16" s="19"/>
      <c r="B16" s="19"/>
      <c r="C16" s="19"/>
      <c r="D16" s="19"/>
      <c r="E16" s="19"/>
    </row>
    <row r="17" spans="1:5" x14ac:dyDescent="0.2">
      <c r="A17" s="19"/>
      <c r="B17" s="19"/>
      <c r="C17" s="19"/>
      <c r="D17" s="19"/>
      <c r="E17" s="19"/>
    </row>
    <row r="18" spans="1:5" x14ac:dyDescent="0.2">
      <c r="A18" s="19"/>
      <c r="B18" s="19"/>
      <c r="C18" s="19"/>
      <c r="D18" s="19"/>
      <c r="E18" s="19"/>
    </row>
    <row r="19" spans="1:5" x14ac:dyDescent="0.2">
      <c r="A19" s="19"/>
      <c r="B19" s="19"/>
      <c r="C19" s="19"/>
      <c r="D19" s="19"/>
      <c r="E19" s="19"/>
    </row>
    <row r="20" spans="1:5" x14ac:dyDescent="0.2">
      <c r="A20" s="19"/>
      <c r="B20" s="19"/>
      <c r="C20" s="19"/>
      <c r="D20" s="19"/>
      <c r="E20" s="19"/>
    </row>
    <row r="21" spans="1:5" x14ac:dyDescent="0.2">
      <c r="A21" s="19"/>
      <c r="B21" s="19"/>
      <c r="C21" s="19"/>
      <c r="D21" s="19"/>
      <c r="E21" s="19"/>
    </row>
    <row r="22" spans="1:5" x14ac:dyDescent="0.2">
      <c r="A22" s="19"/>
      <c r="B22" s="19"/>
      <c r="C22" s="19"/>
      <c r="D22" s="19"/>
      <c r="E22" s="19"/>
    </row>
    <row r="23" spans="1:5" x14ac:dyDescent="0.2">
      <c r="A23" s="19"/>
      <c r="B23" s="19"/>
      <c r="C23" s="19"/>
      <c r="D23" s="19"/>
      <c r="E23" s="19"/>
    </row>
    <row r="24" spans="1:5" x14ac:dyDescent="0.2">
      <c r="A24" s="19"/>
      <c r="B24" s="19"/>
      <c r="C24" s="19"/>
      <c r="D24" s="19"/>
      <c r="E24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6"/>
  <sheetViews>
    <sheetView showGridLines="0" workbookViewId="0">
      <selection activeCell="B17" sqref="B17"/>
    </sheetView>
  </sheetViews>
  <sheetFormatPr defaultRowHeight="15" x14ac:dyDescent="0.2"/>
  <cols>
    <col min="1" max="1" width="23.9453125" customWidth="1"/>
    <col min="2" max="30" width="11.02734375" customWidth="1"/>
    <col min="31" max="31" width="13.046875" customWidth="1"/>
  </cols>
  <sheetData>
    <row r="1" spans="1:32" ht="30" customHeight="1" x14ac:dyDescent="0.2">
      <c r="A1" s="13" t="s">
        <v>52</v>
      </c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</row>
    <row r="2" spans="1:32" x14ac:dyDescent="0.2">
      <c r="A2" s="14" t="s">
        <v>84</v>
      </c>
      <c r="B2" s="15">
        <v>1</v>
      </c>
      <c r="C2" s="15">
        <v>0</v>
      </c>
      <c r="D2" s="15">
        <v>1</v>
      </c>
      <c r="E2" s="15">
        <v>1</v>
      </c>
      <c r="F2" s="15">
        <v>2</v>
      </c>
      <c r="G2" s="15">
        <v>1</v>
      </c>
      <c r="H2" s="15">
        <v>4</v>
      </c>
      <c r="I2" s="15">
        <v>2</v>
      </c>
      <c r="J2" s="15">
        <v>0</v>
      </c>
      <c r="K2" s="15">
        <v>0</v>
      </c>
      <c r="L2" s="15">
        <v>1</v>
      </c>
      <c r="M2" s="15">
        <v>0</v>
      </c>
      <c r="N2" s="15">
        <v>0</v>
      </c>
      <c r="O2" s="15">
        <v>0</v>
      </c>
      <c r="P2" s="15">
        <v>1</v>
      </c>
      <c r="Q2" s="15">
        <v>1</v>
      </c>
      <c r="R2" s="15">
        <v>4</v>
      </c>
      <c r="S2" s="15">
        <v>1</v>
      </c>
      <c r="T2" s="15">
        <v>0</v>
      </c>
      <c r="U2" s="15">
        <v>3</v>
      </c>
      <c r="V2" s="15">
        <v>1</v>
      </c>
      <c r="W2" s="15">
        <v>2</v>
      </c>
      <c r="X2" s="15">
        <v>4</v>
      </c>
      <c r="Y2" s="15">
        <v>3</v>
      </c>
      <c r="Z2" s="15">
        <v>0</v>
      </c>
      <c r="AA2" s="15">
        <v>2</v>
      </c>
      <c r="AB2" s="15">
        <v>0</v>
      </c>
      <c r="AC2" s="15">
        <v>0</v>
      </c>
      <c r="AD2" s="15">
        <v>2</v>
      </c>
      <c r="AE2" s="15">
        <v>0</v>
      </c>
      <c r="AF2" s="18">
        <f>SUM(B2:AE2)</f>
        <v>37</v>
      </c>
    </row>
    <row r="3" spans="1:32" x14ac:dyDescent="0.2">
      <c r="A3" s="14" t="s">
        <v>85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1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8">
        <f>SUM(B3:AE3)</f>
        <v>1</v>
      </c>
    </row>
    <row r="4" spans="1:32" x14ac:dyDescent="0.2">
      <c r="A4" s="14" t="s">
        <v>86</v>
      </c>
      <c r="B4" s="15">
        <v>0</v>
      </c>
      <c r="C4" s="15">
        <v>0</v>
      </c>
      <c r="D4" s="15">
        <v>0</v>
      </c>
      <c r="E4" s="15">
        <v>1</v>
      </c>
      <c r="F4" s="15">
        <v>0</v>
      </c>
      <c r="G4" s="15">
        <v>1</v>
      </c>
      <c r="H4" s="15">
        <v>2</v>
      </c>
      <c r="I4" s="15">
        <v>0</v>
      </c>
      <c r="J4" s="15">
        <v>0</v>
      </c>
      <c r="K4" s="15">
        <v>4</v>
      </c>
      <c r="L4" s="15">
        <v>3</v>
      </c>
      <c r="M4" s="15">
        <v>3</v>
      </c>
      <c r="N4" s="15">
        <v>1</v>
      </c>
      <c r="O4" s="15">
        <v>1</v>
      </c>
      <c r="P4" s="15">
        <v>3</v>
      </c>
      <c r="Q4" s="15">
        <v>3</v>
      </c>
      <c r="R4" s="15">
        <v>4</v>
      </c>
      <c r="S4" s="15">
        <v>1</v>
      </c>
      <c r="T4" s="15">
        <v>2</v>
      </c>
      <c r="U4" s="15">
        <v>4</v>
      </c>
      <c r="V4" s="15">
        <v>1</v>
      </c>
      <c r="W4" s="15">
        <v>1</v>
      </c>
      <c r="X4" s="15">
        <v>1</v>
      </c>
      <c r="Y4" s="15">
        <v>0</v>
      </c>
      <c r="Z4" s="15">
        <v>2</v>
      </c>
      <c r="AA4" s="15">
        <v>0</v>
      </c>
      <c r="AB4" s="15">
        <v>2</v>
      </c>
      <c r="AC4" s="15">
        <v>4</v>
      </c>
      <c r="AD4" s="15">
        <v>1</v>
      </c>
      <c r="AE4" s="15">
        <v>2</v>
      </c>
      <c r="AF4" s="18">
        <f>SUM(B4:AE4)</f>
        <v>47</v>
      </c>
    </row>
    <row r="5" spans="1:32" x14ac:dyDescent="0.2">
      <c r="A5" s="14" t="s">
        <v>87</v>
      </c>
      <c r="B5" s="15">
        <v>0</v>
      </c>
      <c r="C5" s="15">
        <v>0</v>
      </c>
      <c r="D5" s="15">
        <v>0</v>
      </c>
      <c r="E5" s="15">
        <v>1</v>
      </c>
      <c r="F5" s="15">
        <v>2</v>
      </c>
      <c r="G5" s="15">
        <v>2</v>
      </c>
      <c r="H5" s="15">
        <v>1</v>
      </c>
      <c r="I5" s="15">
        <v>1</v>
      </c>
      <c r="J5" s="15">
        <v>2</v>
      </c>
      <c r="K5" s="15">
        <v>0</v>
      </c>
      <c r="L5" s="15">
        <v>0</v>
      </c>
      <c r="M5" s="15">
        <v>1</v>
      </c>
      <c r="N5" s="15">
        <v>2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2</v>
      </c>
      <c r="U5" s="15">
        <v>3</v>
      </c>
      <c r="V5" s="15">
        <v>1</v>
      </c>
      <c r="W5" s="15">
        <v>1</v>
      </c>
      <c r="X5" s="15">
        <v>2</v>
      </c>
      <c r="Y5" s="15">
        <v>2</v>
      </c>
      <c r="Z5" s="15">
        <v>2</v>
      </c>
      <c r="AA5" s="15">
        <v>1</v>
      </c>
      <c r="AB5" s="15">
        <v>1</v>
      </c>
      <c r="AC5" s="15">
        <v>1</v>
      </c>
      <c r="AD5" s="15">
        <v>0</v>
      </c>
      <c r="AE5" s="15">
        <v>1</v>
      </c>
      <c r="AF5" s="18">
        <f>SUM(B5:AE5)</f>
        <v>29</v>
      </c>
    </row>
    <row r="6" spans="1:32" x14ac:dyDescent="0.2">
      <c r="A6" s="14" t="s">
        <v>88</v>
      </c>
      <c r="B6" s="15">
        <v>2</v>
      </c>
      <c r="C6" s="15">
        <v>2</v>
      </c>
      <c r="D6" s="15">
        <v>8</v>
      </c>
      <c r="E6" s="15">
        <v>5</v>
      </c>
      <c r="F6" s="15">
        <v>9</v>
      </c>
      <c r="G6" s="15">
        <v>10</v>
      </c>
      <c r="H6" s="15">
        <v>8</v>
      </c>
      <c r="I6" s="15">
        <v>14</v>
      </c>
      <c r="J6" s="15">
        <v>5</v>
      </c>
      <c r="K6" s="15">
        <v>6</v>
      </c>
      <c r="L6" s="15">
        <v>9</v>
      </c>
      <c r="M6" s="15">
        <v>10</v>
      </c>
      <c r="N6" s="15">
        <v>7</v>
      </c>
      <c r="O6" s="15">
        <v>4</v>
      </c>
      <c r="P6" s="15">
        <v>8</v>
      </c>
      <c r="Q6" s="15">
        <v>13</v>
      </c>
      <c r="R6" s="15">
        <v>9</v>
      </c>
      <c r="S6" s="15">
        <v>5</v>
      </c>
      <c r="T6" s="15">
        <v>12</v>
      </c>
      <c r="U6" s="15">
        <v>5</v>
      </c>
      <c r="V6" s="15">
        <v>12</v>
      </c>
      <c r="W6" s="15">
        <v>6</v>
      </c>
      <c r="X6" s="15">
        <v>7</v>
      </c>
      <c r="Y6" s="15">
        <v>4</v>
      </c>
      <c r="Z6" s="15">
        <v>6</v>
      </c>
      <c r="AA6" s="15">
        <v>4</v>
      </c>
      <c r="AB6" s="15">
        <v>4</v>
      </c>
      <c r="AC6" s="15">
        <v>2</v>
      </c>
      <c r="AD6" s="15">
        <v>6</v>
      </c>
      <c r="AE6" s="15">
        <v>7</v>
      </c>
      <c r="AF6" s="18">
        <f>SUM(B6:AE6)</f>
        <v>209</v>
      </c>
    </row>
    <row r="7" spans="1:32" x14ac:dyDescent="0.2">
      <c r="A7" s="14" t="s">
        <v>89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1</v>
      </c>
      <c r="I7" s="15">
        <v>1</v>
      </c>
      <c r="J7" s="15">
        <v>0</v>
      </c>
      <c r="K7" s="15">
        <v>1</v>
      </c>
      <c r="L7" s="15">
        <v>0</v>
      </c>
      <c r="M7" s="15">
        <v>0</v>
      </c>
      <c r="N7" s="15">
        <v>1</v>
      </c>
      <c r="O7" s="15">
        <v>0</v>
      </c>
      <c r="P7" s="15">
        <v>0</v>
      </c>
      <c r="Q7" s="15">
        <v>0</v>
      </c>
      <c r="R7" s="15">
        <v>0</v>
      </c>
      <c r="S7" s="15">
        <v>1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8">
        <f>SUM(B7:AE7)</f>
        <v>6</v>
      </c>
    </row>
    <row r="8" spans="1:32" x14ac:dyDescent="0.2">
      <c r="A8" s="14" t="s">
        <v>90</v>
      </c>
      <c r="B8" s="15">
        <v>1</v>
      </c>
      <c r="C8" s="15">
        <v>0</v>
      </c>
      <c r="D8" s="15">
        <v>1</v>
      </c>
      <c r="E8" s="15">
        <v>0</v>
      </c>
      <c r="F8" s="15">
        <v>3</v>
      </c>
      <c r="G8" s="15">
        <v>0</v>
      </c>
      <c r="H8" s="15">
        <v>4</v>
      </c>
      <c r="I8" s="15">
        <v>4</v>
      </c>
      <c r="J8" s="15">
        <v>4</v>
      </c>
      <c r="K8" s="15">
        <v>2</v>
      </c>
      <c r="L8" s="15">
        <v>0</v>
      </c>
      <c r="M8" s="15">
        <v>1</v>
      </c>
      <c r="N8" s="15">
        <v>4</v>
      </c>
      <c r="O8" s="15">
        <v>1</v>
      </c>
      <c r="P8" s="15">
        <v>1</v>
      </c>
      <c r="Q8" s="15">
        <v>3</v>
      </c>
      <c r="R8" s="15">
        <v>2</v>
      </c>
      <c r="S8" s="15">
        <v>2</v>
      </c>
      <c r="T8" s="15">
        <v>0</v>
      </c>
      <c r="U8" s="15">
        <v>0</v>
      </c>
      <c r="V8" s="15">
        <v>1</v>
      </c>
      <c r="W8" s="15">
        <v>2</v>
      </c>
      <c r="X8" s="15">
        <v>1</v>
      </c>
      <c r="Y8" s="15">
        <v>3</v>
      </c>
      <c r="Z8" s="15">
        <v>4</v>
      </c>
      <c r="AA8" s="15">
        <v>2</v>
      </c>
      <c r="AB8" s="15">
        <v>3</v>
      </c>
      <c r="AC8" s="15">
        <v>1</v>
      </c>
      <c r="AD8" s="15">
        <v>4</v>
      </c>
      <c r="AE8" s="15">
        <v>1</v>
      </c>
      <c r="AF8" s="18">
        <f>SUM(B8:AE8)</f>
        <v>55</v>
      </c>
    </row>
    <row r="9" spans="1:32" x14ac:dyDescent="0.2">
      <c r="A9" s="14" t="s">
        <v>91</v>
      </c>
      <c r="B9" s="15">
        <v>0</v>
      </c>
      <c r="C9" s="15">
        <v>0</v>
      </c>
      <c r="D9" s="15">
        <v>0</v>
      </c>
      <c r="E9" s="15">
        <v>1</v>
      </c>
      <c r="F9" s="15">
        <v>1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1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  <c r="AF9" s="18">
        <f>SUM(B9:AE9)</f>
        <v>5</v>
      </c>
    </row>
    <row r="10" spans="1:32" x14ac:dyDescent="0.2">
      <c r="A10" s="14" t="s">
        <v>92</v>
      </c>
      <c r="B10" s="15">
        <v>0</v>
      </c>
      <c r="C10" s="15">
        <v>0</v>
      </c>
      <c r="D10" s="15">
        <v>0</v>
      </c>
      <c r="E10" s="15">
        <v>0</v>
      </c>
      <c r="F10" s="15">
        <v>3</v>
      </c>
      <c r="G10" s="15">
        <v>2</v>
      </c>
      <c r="H10" s="15">
        <v>0</v>
      </c>
      <c r="I10" s="15">
        <v>1</v>
      </c>
      <c r="J10" s="15">
        <v>2</v>
      </c>
      <c r="K10" s="15">
        <v>2</v>
      </c>
      <c r="L10" s="15">
        <v>0</v>
      </c>
      <c r="M10" s="15">
        <v>0</v>
      </c>
      <c r="N10" s="15">
        <v>1</v>
      </c>
      <c r="O10" s="15">
        <v>0</v>
      </c>
      <c r="P10" s="15">
        <v>2</v>
      </c>
      <c r="Q10" s="15">
        <v>1</v>
      </c>
      <c r="R10" s="15">
        <v>1</v>
      </c>
      <c r="S10" s="15">
        <v>1</v>
      </c>
      <c r="T10" s="15">
        <v>0</v>
      </c>
      <c r="U10" s="15">
        <v>1</v>
      </c>
      <c r="V10" s="15">
        <v>1</v>
      </c>
      <c r="W10" s="15">
        <v>0</v>
      </c>
      <c r="X10" s="15">
        <v>2</v>
      </c>
      <c r="Y10" s="15">
        <v>1</v>
      </c>
      <c r="Z10" s="15">
        <v>1</v>
      </c>
      <c r="AA10" s="15">
        <v>0</v>
      </c>
      <c r="AB10" s="15">
        <v>0</v>
      </c>
      <c r="AC10" s="15">
        <v>1</v>
      </c>
      <c r="AD10" s="15">
        <v>0</v>
      </c>
      <c r="AE10" s="15">
        <v>0</v>
      </c>
      <c r="AF10" s="18">
        <f>SUM(B10:AE10)</f>
        <v>23</v>
      </c>
    </row>
    <row r="11" spans="1:32" x14ac:dyDescent="0.2">
      <c r="A11" s="14" t="s">
        <v>93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1</v>
      </c>
      <c r="AD11" s="15">
        <v>0</v>
      </c>
      <c r="AE11" s="15">
        <v>1</v>
      </c>
      <c r="AF11" s="18">
        <f>SUM(B11:AE11)</f>
        <v>3</v>
      </c>
    </row>
    <row r="12" spans="1:32" x14ac:dyDescent="0.2">
      <c r="A12" s="14" t="s">
        <v>94</v>
      </c>
      <c r="B12" s="15">
        <v>0</v>
      </c>
      <c r="C12" s="15">
        <v>0</v>
      </c>
      <c r="D12" s="15">
        <v>0</v>
      </c>
      <c r="E12" s="15">
        <v>0</v>
      </c>
      <c r="F12" s="15">
        <v>1</v>
      </c>
      <c r="G12" s="15">
        <v>2</v>
      </c>
      <c r="H12" s="15">
        <v>5</v>
      </c>
      <c r="I12" s="15">
        <v>0</v>
      </c>
      <c r="J12" s="15">
        <v>0</v>
      </c>
      <c r="K12" s="15">
        <v>0</v>
      </c>
      <c r="L12" s="15">
        <v>2</v>
      </c>
      <c r="M12" s="15">
        <v>0</v>
      </c>
      <c r="N12" s="15">
        <v>0</v>
      </c>
      <c r="O12" s="15">
        <v>3</v>
      </c>
      <c r="P12" s="15">
        <v>4</v>
      </c>
      <c r="Q12" s="15">
        <v>7</v>
      </c>
      <c r="R12" s="15">
        <v>0</v>
      </c>
      <c r="S12" s="15">
        <v>4</v>
      </c>
      <c r="T12" s="15">
        <v>5</v>
      </c>
      <c r="U12" s="15">
        <v>10</v>
      </c>
      <c r="V12" s="15">
        <v>8</v>
      </c>
      <c r="W12" s="15">
        <v>7</v>
      </c>
      <c r="X12" s="15">
        <v>2</v>
      </c>
      <c r="Y12" s="15">
        <v>5</v>
      </c>
      <c r="Z12" s="15">
        <v>1</v>
      </c>
      <c r="AA12" s="15">
        <v>0</v>
      </c>
      <c r="AB12" s="15">
        <v>3</v>
      </c>
      <c r="AC12" s="15">
        <v>4</v>
      </c>
      <c r="AD12" s="15">
        <v>4</v>
      </c>
      <c r="AE12" s="15">
        <v>1</v>
      </c>
      <c r="AF12" s="18">
        <f>SUM(B12:AE12)</f>
        <v>78</v>
      </c>
    </row>
    <row r="13" spans="1:32" x14ac:dyDescent="0.2">
      <c r="A13" s="14" t="s">
        <v>95</v>
      </c>
      <c r="B13" s="15">
        <v>0</v>
      </c>
      <c r="C13" s="15">
        <v>0</v>
      </c>
      <c r="D13" s="15">
        <v>2</v>
      </c>
      <c r="E13" s="15">
        <v>1</v>
      </c>
      <c r="F13" s="15">
        <v>0</v>
      </c>
      <c r="G13" s="15">
        <v>1</v>
      </c>
      <c r="H13" s="15">
        <v>0</v>
      </c>
      <c r="I13" s="15">
        <v>1</v>
      </c>
      <c r="J13" s="15">
        <v>2</v>
      </c>
      <c r="K13" s="15">
        <v>1</v>
      </c>
      <c r="L13" s="15">
        <v>1</v>
      </c>
      <c r="M13" s="15">
        <v>1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1</v>
      </c>
      <c r="U13" s="15">
        <v>1</v>
      </c>
      <c r="V13" s="15">
        <v>2</v>
      </c>
      <c r="W13" s="15">
        <v>1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8">
        <f>SUM(B13:AE13)</f>
        <v>15</v>
      </c>
    </row>
    <row r="14" spans="1:32" x14ac:dyDescent="0.2">
      <c r="A14" s="14" t="s">
        <v>96</v>
      </c>
      <c r="B14" s="15">
        <v>8</v>
      </c>
      <c r="C14" s="15">
        <v>0</v>
      </c>
      <c r="D14" s="15">
        <v>4</v>
      </c>
      <c r="E14" s="15">
        <v>3</v>
      </c>
      <c r="F14" s="15">
        <v>3</v>
      </c>
      <c r="G14" s="15">
        <v>1</v>
      </c>
      <c r="H14" s="15">
        <v>1</v>
      </c>
      <c r="I14" s="15">
        <v>2</v>
      </c>
      <c r="J14" s="15">
        <v>4</v>
      </c>
      <c r="K14" s="15">
        <v>2</v>
      </c>
      <c r="L14" s="15">
        <v>2</v>
      </c>
      <c r="M14" s="15">
        <v>3</v>
      </c>
      <c r="N14" s="15">
        <v>5</v>
      </c>
      <c r="O14" s="15">
        <v>0</v>
      </c>
      <c r="P14" s="15">
        <v>2</v>
      </c>
      <c r="Q14" s="15">
        <v>5</v>
      </c>
      <c r="R14" s="15">
        <v>1</v>
      </c>
      <c r="S14" s="15">
        <v>1</v>
      </c>
      <c r="T14" s="15">
        <v>4</v>
      </c>
      <c r="U14" s="15">
        <v>4</v>
      </c>
      <c r="V14" s="15">
        <v>2</v>
      </c>
      <c r="W14" s="15">
        <v>4</v>
      </c>
      <c r="X14" s="15">
        <v>2</v>
      </c>
      <c r="Y14" s="15">
        <v>2</v>
      </c>
      <c r="Z14" s="15">
        <v>3</v>
      </c>
      <c r="AA14" s="15">
        <v>2</v>
      </c>
      <c r="AB14" s="15">
        <v>3</v>
      </c>
      <c r="AC14" s="15">
        <v>1</v>
      </c>
      <c r="AD14" s="15">
        <v>1</v>
      </c>
      <c r="AE14" s="15">
        <v>0</v>
      </c>
      <c r="AF14" s="18">
        <f>SUM(B14:AE14)</f>
        <v>75</v>
      </c>
    </row>
    <row r="15" spans="1:32" x14ac:dyDescent="0.2">
      <c r="A15" s="14" t="s">
        <v>97</v>
      </c>
      <c r="B15" s="15">
        <v>2</v>
      </c>
      <c r="C15" s="15">
        <v>2</v>
      </c>
      <c r="D15" s="15">
        <v>10</v>
      </c>
      <c r="E15" s="15">
        <v>9</v>
      </c>
      <c r="F15" s="15">
        <v>11</v>
      </c>
      <c r="G15" s="15">
        <v>11</v>
      </c>
      <c r="H15" s="15">
        <v>11</v>
      </c>
      <c r="I15" s="15">
        <v>19</v>
      </c>
      <c r="J15" s="15">
        <v>12</v>
      </c>
      <c r="K15" s="15">
        <v>3</v>
      </c>
      <c r="L15" s="15">
        <v>10</v>
      </c>
      <c r="M15" s="15">
        <v>14</v>
      </c>
      <c r="N15" s="15">
        <v>19</v>
      </c>
      <c r="O15" s="15">
        <v>3</v>
      </c>
      <c r="P15" s="15">
        <v>21</v>
      </c>
      <c r="Q15" s="15">
        <v>17</v>
      </c>
      <c r="R15" s="15">
        <v>5</v>
      </c>
      <c r="S15" s="15">
        <v>10</v>
      </c>
      <c r="T15" s="15">
        <v>11</v>
      </c>
      <c r="U15" s="15">
        <v>15</v>
      </c>
      <c r="V15" s="15">
        <v>16</v>
      </c>
      <c r="W15" s="15">
        <v>13</v>
      </c>
      <c r="X15" s="15">
        <v>15</v>
      </c>
      <c r="Y15" s="15">
        <v>5</v>
      </c>
      <c r="Z15" s="15">
        <v>22</v>
      </c>
      <c r="AA15" s="15">
        <v>20</v>
      </c>
      <c r="AB15" s="15">
        <v>19</v>
      </c>
      <c r="AC15" s="15">
        <v>23</v>
      </c>
      <c r="AD15" s="15">
        <v>8</v>
      </c>
      <c r="AE15" s="15">
        <v>17</v>
      </c>
      <c r="AF15" s="18">
        <f>SUM(B15:AE15)</f>
        <v>373</v>
      </c>
    </row>
    <row r="16" spans="1:32" x14ac:dyDescent="0.2">
      <c r="A16" s="14" t="s">
        <v>98</v>
      </c>
      <c r="B16" s="15">
        <v>1</v>
      </c>
      <c r="C16" s="15">
        <v>1</v>
      </c>
      <c r="D16" s="15">
        <v>0</v>
      </c>
      <c r="E16" s="15">
        <v>3</v>
      </c>
      <c r="F16" s="15">
        <v>2</v>
      </c>
      <c r="G16" s="15">
        <v>1</v>
      </c>
      <c r="H16" s="15">
        <v>3</v>
      </c>
      <c r="I16" s="15">
        <v>5</v>
      </c>
      <c r="J16" s="15">
        <v>1</v>
      </c>
      <c r="K16" s="15">
        <v>1</v>
      </c>
      <c r="L16" s="15">
        <v>2</v>
      </c>
      <c r="M16" s="15">
        <v>2</v>
      </c>
      <c r="N16" s="15">
        <v>4</v>
      </c>
      <c r="O16" s="15">
        <v>0</v>
      </c>
      <c r="P16" s="15">
        <v>1</v>
      </c>
      <c r="Q16" s="15">
        <v>0</v>
      </c>
      <c r="R16" s="15">
        <v>3</v>
      </c>
      <c r="S16" s="15">
        <v>4</v>
      </c>
      <c r="T16" s="15">
        <v>4</v>
      </c>
      <c r="U16" s="15">
        <v>3</v>
      </c>
      <c r="V16" s="15">
        <v>1</v>
      </c>
      <c r="W16" s="15">
        <v>1</v>
      </c>
      <c r="X16" s="15">
        <v>1</v>
      </c>
      <c r="Y16" s="15">
        <v>3</v>
      </c>
      <c r="Z16" s="15">
        <v>0</v>
      </c>
      <c r="AA16" s="15">
        <v>2</v>
      </c>
      <c r="AB16" s="15">
        <v>1</v>
      </c>
      <c r="AC16" s="15">
        <v>0</v>
      </c>
      <c r="AD16" s="15">
        <v>1</v>
      </c>
      <c r="AE16" s="15">
        <v>4</v>
      </c>
      <c r="AF16" s="18">
        <f>SUM(B16:AE16)</f>
        <v>55</v>
      </c>
    </row>
    <row r="17" spans="1:32" x14ac:dyDescent="0.2">
      <c r="A17" s="14" t="s">
        <v>99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2</v>
      </c>
      <c r="S17" s="15">
        <v>0</v>
      </c>
      <c r="T17" s="15">
        <v>0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8">
        <f>SUM(B17:AE17)</f>
        <v>3</v>
      </c>
    </row>
    <row r="18" spans="1:32" x14ac:dyDescent="0.2">
      <c r="A18" s="14" t="s">
        <v>100</v>
      </c>
      <c r="B18" s="15">
        <v>0</v>
      </c>
      <c r="C18" s="15">
        <v>0</v>
      </c>
      <c r="D18" s="15">
        <v>3</v>
      </c>
      <c r="E18" s="15">
        <v>0</v>
      </c>
      <c r="F18" s="15">
        <v>0</v>
      </c>
      <c r="G18" s="15">
        <v>0</v>
      </c>
      <c r="H18" s="15">
        <v>2</v>
      </c>
      <c r="I18" s="15">
        <v>2</v>
      </c>
      <c r="J18" s="15">
        <v>0</v>
      </c>
      <c r="K18" s="15">
        <v>0</v>
      </c>
      <c r="L18" s="15">
        <v>0</v>
      </c>
      <c r="M18" s="15">
        <v>1</v>
      </c>
      <c r="N18" s="15">
        <v>0</v>
      </c>
      <c r="O18" s="15">
        <v>1</v>
      </c>
      <c r="P18" s="15">
        <v>1</v>
      </c>
      <c r="Q18" s="15">
        <v>1</v>
      </c>
      <c r="R18" s="15">
        <v>2</v>
      </c>
      <c r="S18" s="15">
        <v>0</v>
      </c>
      <c r="T18" s="15">
        <v>3</v>
      </c>
      <c r="U18" s="15">
        <v>0</v>
      </c>
      <c r="V18" s="15">
        <v>1</v>
      </c>
      <c r="W18" s="15">
        <v>0</v>
      </c>
      <c r="X18" s="15">
        <v>1</v>
      </c>
      <c r="Y18" s="15">
        <v>1</v>
      </c>
      <c r="Z18" s="15">
        <v>2</v>
      </c>
      <c r="AA18" s="15">
        <v>0</v>
      </c>
      <c r="AB18" s="15">
        <v>1</v>
      </c>
      <c r="AC18" s="15">
        <v>0</v>
      </c>
      <c r="AD18" s="15">
        <v>4</v>
      </c>
      <c r="AE18" s="15">
        <v>4</v>
      </c>
      <c r="AF18" s="18">
        <f>SUM(B18:AE18)</f>
        <v>30</v>
      </c>
    </row>
    <row r="19" spans="1:32" x14ac:dyDescent="0.2">
      <c r="A19" s="14" t="s">
        <v>101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1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1</v>
      </c>
      <c r="O19" s="15">
        <v>0</v>
      </c>
      <c r="P19" s="15">
        <v>2</v>
      </c>
      <c r="Q19" s="15">
        <v>0</v>
      </c>
      <c r="R19" s="15">
        <v>0</v>
      </c>
      <c r="S19" s="15">
        <v>3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8">
        <f>SUM(B19:AE19)</f>
        <v>8</v>
      </c>
    </row>
    <row r="20" spans="1:32" x14ac:dyDescent="0.2">
      <c r="A20" s="14" t="s">
        <v>102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1</v>
      </c>
      <c r="S20" s="15">
        <v>0</v>
      </c>
      <c r="T20" s="15">
        <v>0</v>
      </c>
      <c r="U20" s="15">
        <v>1</v>
      </c>
      <c r="V20" s="15">
        <v>0</v>
      </c>
      <c r="W20" s="15">
        <v>0</v>
      </c>
      <c r="X20" s="15">
        <v>0</v>
      </c>
      <c r="Y20" s="15">
        <v>1</v>
      </c>
      <c r="Z20" s="15">
        <v>1</v>
      </c>
      <c r="AA20" s="15">
        <v>0</v>
      </c>
      <c r="AB20" s="15">
        <v>0</v>
      </c>
      <c r="AC20" s="15">
        <v>0</v>
      </c>
      <c r="AD20" s="15">
        <v>1</v>
      </c>
      <c r="AE20" s="15">
        <v>0</v>
      </c>
      <c r="AF20" s="18">
        <f>SUM(B20:AE20)</f>
        <v>5</v>
      </c>
    </row>
    <row r="21" spans="1:32" x14ac:dyDescent="0.2">
      <c r="A21" s="14" t="s">
        <v>103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1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8">
        <f>SUM(B21:AE21)</f>
        <v>2</v>
      </c>
    </row>
    <row r="22" spans="1:32" x14ac:dyDescent="0.2">
      <c r="A22" s="14" t="s">
        <v>104</v>
      </c>
      <c r="B22" s="15">
        <v>0</v>
      </c>
      <c r="C22" s="15">
        <v>1</v>
      </c>
      <c r="D22" s="15">
        <v>1</v>
      </c>
      <c r="E22" s="15">
        <v>2</v>
      </c>
      <c r="F22" s="15">
        <v>1</v>
      </c>
      <c r="G22" s="15">
        <v>5</v>
      </c>
      <c r="H22" s="15">
        <v>2</v>
      </c>
      <c r="I22" s="15">
        <v>2</v>
      </c>
      <c r="J22" s="15">
        <v>4</v>
      </c>
      <c r="K22" s="15">
        <v>2</v>
      </c>
      <c r="L22" s="15">
        <v>5</v>
      </c>
      <c r="M22" s="15">
        <v>0</v>
      </c>
      <c r="N22" s="15">
        <v>1</v>
      </c>
      <c r="O22" s="15">
        <v>0</v>
      </c>
      <c r="P22" s="15">
        <v>1</v>
      </c>
      <c r="Q22" s="15">
        <v>1</v>
      </c>
      <c r="R22" s="15">
        <v>1</v>
      </c>
      <c r="S22" s="15">
        <v>2</v>
      </c>
      <c r="T22" s="15">
        <v>2</v>
      </c>
      <c r="U22" s="15">
        <v>3</v>
      </c>
      <c r="V22" s="15">
        <v>4</v>
      </c>
      <c r="W22" s="15">
        <v>3</v>
      </c>
      <c r="X22" s="15">
        <v>1</v>
      </c>
      <c r="Y22" s="15">
        <v>0</v>
      </c>
      <c r="Z22" s="15">
        <v>2</v>
      </c>
      <c r="AA22" s="15">
        <v>0</v>
      </c>
      <c r="AB22" s="15">
        <v>3</v>
      </c>
      <c r="AC22" s="15">
        <v>1</v>
      </c>
      <c r="AD22" s="15">
        <v>3</v>
      </c>
      <c r="AE22" s="15">
        <v>3</v>
      </c>
      <c r="AF22" s="18">
        <f>SUM(B22:AE22)</f>
        <v>56</v>
      </c>
    </row>
    <row r="23" spans="1:32" x14ac:dyDescent="0.2">
      <c r="A23" s="14" t="s">
        <v>105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1</v>
      </c>
      <c r="I23" s="15">
        <v>1</v>
      </c>
      <c r="J23" s="15">
        <v>3</v>
      </c>
      <c r="K23" s="15">
        <v>0</v>
      </c>
      <c r="L23" s="15">
        <v>2</v>
      </c>
      <c r="M23" s="15">
        <v>0</v>
      </c>
      <c r="N23" s="15">
        <v>0</v>
      </c>
      <c r="O23" s="15">
        <v>1</v>
      </c>
      <c r="P23" s="15">
        <v>1</v>
      </c>
      <c r="Q23" s="15">
        <v>1</v>
      </c>
      <c r="R23" s="15">
        <v>1</v>
      </c>
      <c r="S23" s="15">
        <v>1</v>
      </c>
      <c r="T23" s="15">
        <v>0</v>
      </c>
      <c r="U23" s="15">
        <v>0</v>
      </c>
      <c r="V23" s="15">
        <v>0</v>
      </c>
      <c r="W23" s="15">
        <v>2</v>
      </c>
      <c r="X23" s="15">
        <v>3</v>
      </c>
      <c r="Y23" s="15">
        <v>0</v>
      </c>
      <c r="Z23" s="15">
        <v>1</v>
      </c>
      <c r="AA23" s="15">
        <v>0</v>
      </c>
      <c r="AB23" s="15">
        <v>1</v>
      </c>
      <c r="AC23" s="15">
        <v>1</v>
      </c>
      <c r="AD23" s="15">
        <v>0</v>
      </c>
      <c r="AE23" s="15">
        <v>2</v>
      </c>
      <c r="AF23" s="18">
        <f>SUM(B23:AE23)</f>
        <v>23</v>
      </c>
    </row>
    <row r="24" spans="1:32" x14ac:dyDescent="0.2">
      <c r="A24" s="14" t="s">
        <v>106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1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</v>
      </c>
      <c r="W24" s="15">
        <v>0</v>
      </c>
      <c r="X24" s="15">
        <v>0</v>
      </c>
      <c r="Y24" s="15">
        <v>1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8">
        <f>SUM(B24:AE24)</f>
        <v>5</v>
      </c>
    </row>
    <row r="25" spans="1:32" x14ac:dyDescent="0.2">
      <c r="A25" s="14" t="s">
        <v>107</v>
      </c>
      <c r="B25" s="15">
        <v>0</v>
      </c>
      <c r="C25" s="15">
        <v>2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1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1</v>
      </c>
      <c r="Y25" s="15">
        <v>0</v>
      </c>
      <c r="Z25" s="15">
        <v>1</v>
      </c>
      <c r="AA25" s="15">
        <v>0</v>
      </c>
      <c r="AB25" s="15">
        <v>1</v>
      </c>
      <c r="AC25" s="15">
        <v>0</v>
      </c>
      <c r="AD25" s="15">
        <v>0</v>
      </c>
      <c r="AE25" s="15">
        <v>0</v>
      </c>
      <c r="AF25" s="18">
        <f>SUM(B25:AE25)</f>
        <v>7</v>
      </c>
    </row>
    <row r="26" spans="1:32" x14ac:dyDescent="0.2">
      <c r="A26" s="16" t="s">
        <v>108</v>
      </c>
      <c r="B26" s="17">
        <f>SUM(B2:B25)</f>
        <v>15</v>
      </c>
      <c r="C26" s="17">
        <f>SUM(C2:C25)</f>
        <v>9</v>
      </c>
      <c r="D26" s="17">
        <f>SUM(D2:D25)</f>
        <v>30</v>
      </c>
      <c r="E26" s="17">
        <f>SUM(E2:E25)</f>
        <v>27</v>
      </c>
      <c r="F26" s="17">
        <f>SUM(F2:F25)</f>
        <v>38</v>
      </c>
      <c r="G26" s="17">
        <f>SUM(G2:G25)</f>
        <v>38</v>
      </c>
      <c r="H26" s="17">
        <f>SUM(H2:H25)</f>
        <v>46</v>
      </c>
      <c r="I26" s="17">
        <f>SUM(I2:I25)</f>
        <v>57</v>
      </c>
      <c r="J26" s="17">
        <f>SUM(J2:J25)</f>
        <v>39</v>
      </c>
      <c r="K26" s="17">
        <f>SUM(K2:K25)</f>
        <v>25</v>
      </c>
      <c r="L26" s="17">
        <f>SUM(L2:L25)</f>
        <v>41</v>
      </c>
      <c r="M26" s="17">
        <f>SUM(M2:M25)</f>
        <v>36</v>
      </c>
      <c r="N26" s="17">
        <f>SUM(N2:N25)</f>
        <v>46</v>
      </c>
      <c r="O26" s="17">
        <f>SUM(O2:O25)</f>
        <v>14</v>
      </c>
      <c r="P26" s="17">
        <f>SUM(P2:P25)</f>
        <v>48</v>
      </c>
      <c r="Q26" s="17">
        <f>SUM(Q2:Q25)</f>
        <v>53</v>
      </c>
      <c r="R26" s="17">
        <f>SUM(R2:R25)</f>
        <v>37</v>
      </c>
      <c r="S26" s="17">
        <f>SUM(S2:S25)</f>
        <v>39</v>
      </c>
      <c r="T26" s="17">
        <f>SUM(T2:T25)</f>
        <v>47</v>
      </c>
      <c r="U26" s="17">
        <f>SUM(U2:U25)</f>
        <v>54</v>
      </c>
      <c r="V26" s="17">
        <f>SUM(V2:V25)</f>
        <v>52</v>
      </c>
      <c r="W26" s="17">
        <f>SUM(W2:W25)</f>
        <v>43</v>
      </c>
      <c r="X26" s="17">
        <f>SUM(X2:X25)</f>
        <v>43</v>
      </c>
      <c r="Y26" s="17">
        <f>SUM(Y2:Y25)</f>
        <v>31</v>
      </c>
      <c r="Z26" s="17">
        <f>SUM(Z2:Z25)</f>
        <v>48</v>
      </c>
      <c r="AA26" s="17">
        <f>SUM(AA2:AA25)</f>
        <v>34</v>
      </c>
      <c r="AB26" s="17">
        <f>SUM(AB2:AB25)</f>
        <v>42</v>
      </c>
      <c r="AC26" s="17">
        <f>SUM(AC2:AC25)</f>
        <v>40</v>
      </c>
      <c r="AD26" s="17">
        <f>SUM(AD2:AD25)</f>
        <v>35</v>
      </c>
      <c r="AE26" s="17">
        <f>SUM(AE2:AE25)</f>
        <v>43</v>
      </c>
      <c r="AF26" s="17">
        <f>SUM(AF2:AF25)</f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6"/>
  <sheetViews>
    <sheetView workbookViewId="0">
      <pane xSplit="1" ySplit="1" topLeftCell="B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23.9453125" customWidth="1"/>
    <col min="2" max="30" width="11.02734375" customWidth="1"/>
    <col min="31" max="31" width="13.046875" customWidth="1"/>
  </cols>
  <sheetData>
    <row r="1" spans="1:31" ht="30" customHeight="1" x14ac:dyDescent="0.2">
      <c r="A1" s="13" t="s">
        <v>32</v>
      </c>
      <c r="B1" s="13" t="s">
        <v>54</v>
      </c>
      <c r="C1" s="13" t="s">
        <v>55</v>
      </c>
      <c r="D1" s="13" t="s">
        <v>56</v>
      </c>
      <c r="E1" s="13" t="s">
        <v>57</v>
      </c>
      <c r="F1" s="13" t="s">
        <v>58</v>
      </c>
      <c r="G1" s="13" t="s">
        <v>59</v>
      </c>
      <c r="H1" s="13" t="s">
        <v>60</v>
      </c>
      <c r="I1" s="13" t="s">
        <v>61</v>
      </c>
      <c r="J1" s="13" t="s">
        <v>62</v>
      </c>
      <c r="K1" s="13" t="s">
        <v>63</v>
      </c>
      <c r="L1" s="13" t="s">
        <v>64</v>
      </c>
      <c r="M1" s="13" t="s">
        <v>65</v>
      </c>
      <c r="N1" s="13" t="s">
        <v>66</v>
      </c>
      <c r="O1" s="13" t="s">
        <v>67</v>
      </c>
      <c r="P1" s="13" t="s">
        <v>68</v>
      </c>
      <c r="Q1" s="13" t="s">
        <v>69</v>
      </c>
      <c r="R1" s="13" t="s">
        <v>70</v>
      </c>
      <c r="S1" s="13" t="s">
        <v>71</v>
      </c>
      <c r="T1" s="13" t="s">
        <v>72</v>
      </c>
      <c r="U1" s="13" t="s">
        <v>73</v>
      </c>
      <c r="V1" s="13" t="s">
        <v>74</v>
      </c>
      <c r="W1" s="13" t="s">
        <v>75</v>
      </c>
      <c r="X1" s="13" t="s">
        <v>76</v>
      </c>
      <c r="Y1" s="13" t="s">
        <v>77</v>
      </c>
      <c r="Z1" s="13" t="s">
        <v>78</v>
      </c>
      <c r="AA1" s="13" t="s">
        <v>79</v>
      </c>
      <c r="AB1" s="13" t="s">
        <v>80</v>
      </c>
      <c r="AC1" s="13" t="s">
        <v>81</v>
      </c>
      <c r="AD1" s="13" t="s">
        <v>82</v>
      </c>
      <c r="AE1" s="13" t="s">
        <v>83</v>
      </c>
    </row>
    <row r="2" spans="1:31" x14ac:dyDescent="0.2">
      <c r="A2" s="14" t="s">
        <v>109</v>
      </c>
      <c r="B2" s="15">
        <v>7</v>
      </c>
      <c r="C2" s="15">
        <v>0</v>
      </c>
      <c r="D2" s="15">
        <v>2</v>
      </c>
      <c r="E2" s="15">
        <v>18</v>
      </c>
      <c r="F2" s="15">
        <v>21</v>
      </c>
      <c r="G2" s="15">
        <v>18</v>
      </c>
      <c r="H2" s="15">
        <v>34</v>
      </c>
      <c r="I2" s="15">
        <v>12</v>
      </c>
      <c r="J2" s="15">
        <v>7</v>
      </c>
      <c r="K2" s="15">
        <v>9</v>
      </c>
      <c r="L2" s="15">
        <v>9</v>
      </c>
      <c r="M2" s="15">
        <v>23</v>
      </c>
      <c r="N2" s="15">
        <v>3</v>
      </c>
      <c r="O2" s="15">
        <v>20</v>
      </c>
      <c r="P2" s="15">
        <v>22</v>
      </c>
      <c r="Q2" s="15">
        <v>8</v>
      </c>
      <c r="R2" s="15">
        <v>14</v>
      </c>
      <c r="S2" s="15">
        <v>5</v>
      </c>
      <c r="T2" s="15">
        <v>0</v>
      </c>
      <c r="U2" s="15">
        <v>0</v>
      </c>
      <c r="V2" s="15">
        <v>13</v>
      </c>
      <c r="W2" s="15">
        <v>16</v>
      </c>
      <c r="X2" s="15">
        <v>3</v>
      </c>
      <c r="Y2" s="15">
        <v>13</v>
      </c>
      <c r="Z2" s="15">
        <v>5</v>
      </c>
      <c r="AA2" s="15">
        <v>15</v>
      </c>
      <c r="AB2" s="15">
        <v>7</v>
      </c>
      <c r="AC2" s="15">
        <v>13</v>
      </c>
      <c r="AD2" s="15">
        <v>15</v>
      </c>
      <c r="AE2" s="18">
        <f>SUM(B2:AD2)</f>
        <v>332</v>
      </c>
    </row>
    <row r="3" spans="1:31" x14ac:dyDescent="0.2">
      <c r="A3" s="14" t="s">
        <v>110</v>
      </c>
      <c r="B3" s="15">
        <v>1</v>
      </c>
      <c r="C3" s="15">
        <v>4</v>
      </c>
      <c r="D3" s="15">
        <v>1</v>
      </c>
      <c r="E3" s="15">
        <v>5</v>
      </c>
      <c r="F3" s="15">
        <v>5</v>
      </c>
      <c r="G3" s="15">
        <v>5</v>
      </c>
      <c r="H3" s="15">
        <v>2</v>
      </c>
      <c r="I3" s="15">
        <v>1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8">
        <f>SUM(B3:AD3)</f>
        <v>24</v>
      </c>
    </row>
    <row r="4" spans="1:31" x14ac:dyDescent="0.2">
      <c r="A4" s="14" t="s">
        <v>111</v>
      </c>
      <c r="B4" s="15">
        <v>1</v>
      </c>
      <c r="C4" s="15">
        <v>22</v>
      </c>
      <c r="D4" s="15">
        <v>15</v>
      </c>
      <c r="E4" s="15">
        <v>9</v>
      </c>
      <c r="F4" s="15">
        <v>5</v>
      </c>
      <c r="G4" s="15">
        <v>14</v>
      </c>
      <c r="H4" s="15">
        <v>9</v>
      </c>
      <c r="I4" s="15">
        <v>12</v>
      </c>
      <c r="J4" s="15">
        <v>9</v>
      </c>
      <c r="K4" s="15">
        <v>18</v>
      </c>
      <c r="L4" s="15">
        <v>15</v>
      </c>
      <c r="M4" s="15">
        <v>11</v>
      </c>
      <c r="N4" s="15">
        <v>8</v>
      </c>
      <c r="O4" s="15">
        <v>16</v>
      </c>
      <c r="P4" s="15">
        <v>21</v>
      </c>
      <c r="Q4" s="15">
        <v>14</v>
      </c>
      <c r="R4" s="15">
        <v>15</v>
      </c>
      <c r="S4" s="15">
        <v>25</v>
      </c>
      <c r="T4" s="15">
        <v>23</v>
      </c>
      <c r="U4" s="15">
        <v>26</v>
      </c>
      <c r="V4" s="15">
        <v>18</v>
      </c>
      <c r="W4" s="15">
        <v>13</v>
      </c>
      <c r="X4" s="15">
        <v>12</v>
      </c>
      <c r="Y4" s="15">
        <v>18</v>
      </c>
      <c r="Z4" s="15">
        <v>23</v>
      </c>
      <c r="AA4" s="15">
        <v>19</v>
      </c>
      <c r="AB4" s="15">
        <v>24</v>
      </c>
      <c r="AC4" s="15">
        <v>9</v>
      </c>
      <c r="AD4" s="15">
        <v>8</v>
      </c>
      <c r="AE4" s="18">
        <f>SUM(B4:AD4)</f>
        <v>432</v>
      </c>
    </row>
    <row r="5" spans="1:31" x14ac:dyDescent="0.2">
      <c r="A5" s="14" t="s">
        <v>112</v>
      </c>
      <c r="B5" s="15">
        <v>0</v>
      </c>
      <c r="C5" s="15">
        <v>4</v>
      </c>
      <c r="D5" s="15">
        <v>9</v>
      </c>
      <c r="E5" s="15">
        <v>6</v>
      </c>
      <c r="F5" s="15">
        <v>6</v>
      </c>
      <c r="G5" s="15">
        <v>7</v>
      </c>
      <c r="H5" s="15">
        <v>11</v>
      </c>
      <c r="I5" s="15">
        <v>12</v>
      </c>
      <c r="J5" s="15">
        <v>8</v>
      </c>
      <c r="K5" s="15">
        <v>12</v>
      </c>
      <c r="L5" s="15">
        <v>8</v>
      </c>
      <c r="M5" s="15">
        <v>7</v>
      </c>
      <c r="N5" s="15">
        <v>3</v>
      </c>
      <c r="O5" s="15">
        <v>10</v>
      </c>
      <c r="P5" s="15">
        <v>5</v>
      </c>
      <c r="Q5" s="15">
        <v>14</v>
      </c>
      <c r="R5" s="15">
        <v>8</v>
      </c>
      <c r="S5" s="15">
        <v>13</v>
      </c>
      <c r="T5" s="15">
        <v>27</v>
      </c>
      <c r="U5" s="15">
        <v>24</v>
      </c>
      <c r="V5" s="15">
        <v>9</v>
      </c>
      <c r="W5" s="15">
        <v>12</v>
      </c>
      <c r="X5" s="15">
        <v>13</v>
      </c>
      <c r="Y5" s="15">
        <v>13</v>
      </c>
      <c r="Z5" s="15">
        <v>4</v>
      </c>
      <c r="AA5" s="15">
        <v>5</v>
      </c>
      <c r="AB5" s="15">
        <v>8</v>
      </c>
      <c r="AC5" s="15">
        <v>11</v>
      </c>
      <c r="AD5" s="15">
        <v>18</v>
      </c>
      <c r="AE5" s="18">
        <f>SUM(B5:AD5)</f>
        <v>287</v>
      </c>
    </row>
    <row r="6" spans="1:31" x14ac:dyDescent="0.2">
      <c r="A6" s="16" t="s">
        <v>108</v>
      </c>
      <c r="B6" s="17">
        <f>SUM(B2:B5)</f>
        <v>9</v>
      </c>
      <c r="C6" s="17">
        <f>SUM(C2:C5)</f>
        <v>30</v>
      </c>
      <c r="D6" s="17">
        <f>SUM(D2:D5)</f>
        <v>27</v>
      </c>
      <c r="E6" s="17">
        <f>SUM(E2:E5)</f>
        <v>38</v>
      </c>
      <c r="F6" s="17">
        <f>SUM(F2:F5)</f>
        <v>37</v>
      </c>
      <c r="G6" s="17">
        <f>SUM(G2:G5)</f>
        <v>44</v>
      </c>
      <c r="H6" s="17">
        <f>SUM(H2:H5)</f>
        <v>56</v>
      </c>
      <c r="I6" s="17">
        <f>SUM(I2:I5)</f>
        <v>37</v>
      </c>
      <c r="J6" s="17">
        <f>SUM(J2:J5)</f>
        <v>24</v>
      </c>
      <c r="K6" s="17">
        <f>SUM(K2:K5)</f>
        <v>39</v>
      </c>
      <c r="L6" s="17">
        <f>SUM(L2:L5)</f>
        <v>32</v>
      </c>
      <c r="M6" s="17">
        <f>SUM(M2:M5)</f>
        <v>41</v>
      </c>
      <c r="N6" s="17">
        <f>SUM(N2:N5)</f>
        <v>14</v>
      </c>
      <c r="O6" s="17">
        <f>SUM(O2:O5)</f>
        <v>46</v>
      </c>
      <c r="P6" s="17">
        <f>SUM(P2:P5)</f>
        <v>48</v>
      </c>
      <c r="Q6" s="17">
        <f>SUM(Q2:Q5)</f>
        <v>36</v>
      </c>
      <c r="R6" s="17">
        <f>SUM(R2:R5)</f>
        <v>37</v>
      </c>
      <c r="S6" s="17">
        <f>SUM(S2:S5)</f>
        <v>43</v>
      </c>
      <c r="T6" s="17">
        <f>SUM(T2:T5)</f>
        <v>50</v>
      </c>
      <c r="U6" s="17">
        <f>SUM(U2:U5)</f>
        <v>50</v>
      </c>
      <c r="V6" s="17">
        <f>SUM(V2:V5)</f>
        <v>40</v>
      </c>
      <c r="W6" s="17">
        <f>SUM(W2:W5)</f>
        <v>41</v>
      </c>
      <c r="X6" s="17">
        <f>SUM(X2:X5)</f>
        <v>28</v>
      </c>
      <c r="Y6" s="17">
        <f>SUM(Y2:Y5)</f>
        <v>44</v>
      </c>
      <c r="Z6" s="17">
        <f>SUM(Z2:Z5)</f>
        <v>32</v>
      </c>
      <c r="AA6" s="17">
        <f>SUM(AA2:AA5)</f>
        <v>39</v>
      </c>
      <c r="AB6" s="17">
        <f>SUM(AB2:AB5)</f>
        <v>39</v>
      </c>
      <c r="AC6" s="17">
        <f>SUM(AC2:AC5)</f>
        <v>33</v>
      </c>
      <c r="AD6" s="17">
        <f>SUM(AD2:AD5)</f>
        <v>41</v>
      </c>
      <c r="AE6" s="17">
        <f>SUM(AE2:AE5)</f>
        <v>1075</v>
      </c>
    </row>
  </sheetData>
  <autoFilter ref="A1:AE7" xr:uid="{00000000-0009-0000-0000-000006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negroupe xmlns="c556f9a3-a689-4e31-a486-f77c0d50b969">
      <UserInfo>
        <DisplayName/>
        <AccountId xsi:nil="true"/>
        <AccountType/>
      </UserInfo>
    </Personnegroupe>
    <lcf76f155ced4ddcb4097134ff3c332f xmlns="c556f9a3-a689-4e31-a486-f77c0d50b969">
      <Terms xmlns="http://schemas.microsoft.com/office/infopath/2007/PartnerControls"/>
    </lcf76f155ced4ddcb4097134ff3c332f>
    <TaxCatchAll xmlns="8981b6f9-5b7b-4519-be15-04baf392ca3b" xsi:nil="true"/>
    <Image_x002d_2025 xmlns="c556f9a3-a689-4e31-a486-f77c0d50b969" xsi:nil="true"/>
    <Ann_x00e9_e xmlns="c556f9a3-a689-4e31-a486-f77c0d50b969" xsi:nil="true"/>
    <Image xmlns="c556f9a3-a689-4e31-a486-f77c0d50b969" xsi:nil="true"/>
    <Territoire xmlns="c556f9a3-a689-4e31-a486-f77c0d50b9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B7A94FD47005468E78D9B5281DEF76" ma:contentTypeVersion="22" ma:contentTypeDescription="Crée un document." ma:contentTypeScope="" ma:versionID="bd9a48f2f30cac876f2569d4a8697138">
  <xsd:schema xmlns:xsd="http://www.w3.org/2001/XMLSchema" xmlns:xs="http://www.w3.org/2001/XMLSchema" xmlns:p="http://schemas.microsoft.com/office/2006/metadata/properties" xmlns:ns2="8981b6f9-5b7b-4519-be15-04baf392ca3b" xmlns:ns3="c556f9a3-a689-4e31-a486-f77c0d50b969" targetNamespace="http://schemas.microsoft.com/office/2006/metadata/properties" ma:root="true" ma:fieldsID="fc48cd8bc52e1f800533c2775d120aef" ns2:_="" ns3:_="">
    <xsd:import namespace="8981b6f9-5b7b-4519-be15-04baf392ca3b"/>
    <xsd:import namespace="c556f9a3-a689-4e31-a486-f77c0d50b9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Personnegroup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Ann_x00e9_e" minOccurs="0"/>
                <xsd:element ref="ns3:Image" minOccurs="0"/>
                <xsd:element ref="ns3:Territoire" minOccurs="0"/>
                <xsd:element ref="ns3:Image_x002d_2025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1b6f9-5b7b-4519-be15-04baf392ca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816e829-a23c-40c0-8cbe-9407e4561617}" ma:internalName="TaxCatchAll" ma:showField="CatchAllData" ma:web="8981b6f9-5b7b-4519-be15-04baf392c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6f9a3-a689-4e31-a486-f77c0d50b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5ee2f19-472e-490c-b0ea-1f409e47d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ersonnegroupe" ma:index="20" nillable="true" ma:displayName="Personne groupe" ma:format="Dropdown" ma:list="UserInfo" ma:SharePointGroup="0" ma:internalName="Personnegroup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Ann_x00e9_e" ma:index="24" nillable="true" ma:displayName="Année" ma:format="Dropdown" ma:internalName="Ann_x00e9_e">
      <xsd:simpleType>
        <xsd:restriction base="dms:Choice">
          <xsd:enumeration value="2023"/>
          <xsd:enumeration value="2024"/>
          <xsd:enumeration value="2025"/>
        </xsd:restriction>
      </xsd:simpleType>
    </xsd:element>
    <xsd:element name="Image" ma:index="25" nillable="true" ma:displayName="Image" ma:format="Thumbnail" ma:internalName="Image">
      <xsd:simpleType>
        <xsd:restriction base="dms:Unknown"/>
      </xsd:simpleType>
    </xsd:element>
    <xsd:element name="Territoire" ma:index="26" nillable="true" ma:displayName="Territoire" ma:format="Dropdown" ma:internalName="Territoire">
      <xsd:simpleType>
        <xsd:restriction base="dms:Text">
          <xsd:maxLength value="255"/>
        </xsd:restriction>
      </xsd:simpleType>
    </xsd:element>
    <xsd:element name="Image_x002d_2025" ma:index="27" nillable="true" ma:displayName="Image - 2025" ma:format="Thumbnail" ma:internalName="Image_x002d_2025">
      <xsd:simpleType>
        <xsd:restriction base="dms:Unknow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5AE10F-9989-4960-AFBD-85B45D997E83}">
  <ds:schemaRefs>
    <ds:schemaRef ds:uri="http://schemas.microsoft.com/office/2006/metadata/properties"/>
    <ds:schemaRef ds:uri="http://www.w3.org/2000/xmlns/"/>
    <ds:schemaRef ds:uri="c556f9a3-a689-4e31-a486-f77c0d50b969"/>
    <ds:schemaRef ds:uri="http://www.w3.org/2001/XMLSchema-instance"/>
    <ds:schemaRef ds:uri="http://schemas.microsoft.com/office/infopath/2007/PartnerControls"/>
    <ds:schemaRef ds:uri="8981b6f9-5b7b-4519-be15-04baf392ca3b"/>
  </ds:schemaRefs>
</ds:datastoreItem>
</file>

<file path=customXml/itemProps2.xml><?xml version="1.0" encoding="utf-8"?>
<ds:datastoreItem xmlns:ds="http://schemas.openxmlformats.org/officeDocument/2006/customXml" ds:itemID="{82182139-A0FF-4EB6-837F-0641456B4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760AE9-7870-4651-9EB6-1B8646ADF15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981b6f9-5b7b-4519-be15-04baf392ca3b"/>
    <ds:schemaRef ds:uri="c556f9a3-a689-4e31-a486-f77c0d50b9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2026</vt:lpstr>
      <vt:lpstr>Automatisations métiers</vt:lpstr>
      <vt:lpstr>Automatisations Odoo</vt:lpstr>
      <vt:lpstr>Tests Phishing</vt:lpstr>
      <vt:lpstr>Maintenances Production</vt:lpstr>
      <vt:lpstr>Nombre tickets par type</vt:lpstr>
      <vt:lpstr>Nombre tickets par responsable</vt:lpstr>
      <vt:lpstr>Nombre tickets par responsable!Zone_d_impression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Gary Schreurs</cp:lastModifiedBy>
  <cp:revision/>
  <dcterms:created xsi:type="dcterms:W3CDTF">2026-07-27T06:30:28Z</dcterms:created>
  <dcterms:modified xsi:type="dcterms:W3CDTF">2026-08-03T11:38:00Z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0x010100EEB7A94FD47005468E78D9B5281DEF76</vt:lpwstr>
  </property>
</Properties>
</file>